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drawings/drawing2.xml" ContentType="application/vnd.openxmlformats-officedocument.drawing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drawings/drawing3.xml" ContentType="application/vnd.openxmlformats-officedocument.drawing+xml"/>
  <Override PartName="/xl/ink/ink68.xml" ContentType="application/inkml+xml"/>
  <Override PartName="/xl/ink/ink6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dc\Documents\Github\quadruped_design\solvers\Housing combined loading\"/>
    </mc:Choice>
  </mc:AlternateContent>
  <xr:revisionPtr revIDLastSave="0" documentId="13_ncr:1_{6A3F5D66-B532-43FD-9E59-4A27314645E0}" xr6:coauthVersionLast="47" xr6:coauthVersionMax="47" xr10:uidLastSave="{00000000-0000-0000-0000-000000000000}"/>
  <bookViews>
    <workbookView xWindow="28680" yWindow="-2685" windowWidth="29040" windowHeight="15720" activeTab="2" xr2:uid="{CA3A924D-1B74-47FA-8478-8B12608BBBB0}"/>
  </bookViews>
  <sheets>
    <sheet name="Torsion" sheetId="1" r:id="rId1"/>
    <sheet name="Bending" sheetId="2" r:id="rId2"/>
    <sheet name="Combined" sheetId="3" r:id="rId3"/>
    <sheet name="Tes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9" i="1" s="1"/>
  <c r="AE8" i="2"/>
  <c r="AE11" i="2" s="1"/>
  <c r="E17" i="1"/>
  <c r="B8" i="4"/>
  <c r="C8" i="4" s="1"/>
  <c r="B7" i="4"/>
  <c r="B6" i="4"/>
  <c r="C6" i="4" s="1"/>
  <c r="C5" i="4"/>
  <c r="C7" i="4"/>
  <c r="C9" i="4"/>
  <c r="C10" i="4"/>
  <c r="C11" i="4"/>
  <c r="C12" i="4"/>
  <c r="B5" i="4"/>
  <c r="C4" i="4"/>
  <c r="P8" i="2"/>
  <c r="D22" i="3"/>
  <c r="D15" i="3"/>
  <c r="P11" i="2"/>
  <c r="D11" i="2"/>
  <c r="D10" i="2"/>
  <c r="D12" i="2"/>
  <c r="AE12" i="2" s="1"/>
  <c r="D8" i="3"/>
  <c r="C18" i="1"/>
  <c r="D13" i="2" l="1"/>
  <c r="D14" i="2" s="1"/>
  <c r="P12" i="2"/>
  <c r="P10" i="2"/>
  <c r="P13" i="2" s="1"/>
  <c r="P14" i="2" s="1"/>
  <c r="AE10" i="2"/>
  <c r="AE13" i="2"/>
  <c r="AE14" i="2" s="1"/>
  <c r="D14" i="3" l="1"/>
  <c r="P15" i="3" s="1"/>
  <c r="D7" i="3"/>
  <c r="P8" i="3" s="1"/>
  <c r="D21" i="3"/>
  <c r="P23" i="3" l="1"/>
  <c r="P22" i="3"/>
  <c r="D9" i="3"/>
  <c r="P9" i="3"/>
  <c r="D16" i="3"/>
  <c r="P16" i="3"/>
  <c r="D23" i="3"/>
</calcChain>
</file>

<file path=xl/sharedStrings.xml><?xml version="1.0" encoding="utf-8"?>
<sst xmlns="http://schemas.openxmlformats.org/spreadsheetml/2006/main" count="149" uniqueCount="56">
  <si>
    <t>3.13 THIN-WALLED HOLLOW SHAFTS IN TORSION</t>
  </si>
  <si>
    <t>thickness,t</t>
  </si>
  <si>
    <t>width, w</t>
  </si>
  <si>
    <t>height, h</t>
  </si>
  <si>
    <t>torsional load, T</t>
  </si>
  <si>
    <t>area, A</t>
  </si>
  <si>
    <r>
      <t xml:space="preserve">shear stress, </t>
    </r>
    <r>
      <rPr>
        <sz val="11"/>
        <color theme="1"/>
        <rFont val="Aptos Narrow"/>
        <family val="2"/>
      </rPr>
      <t>τ</t>
    </r>
  </si>
  <si>
    <t>in</t>
  </si>
  <si>
    <t>Property</t>
  </si>
  <si>
    <t>Units</t>
  </si>
  <si>
    <t>in^3</t>
  </si>
  <si>
    <t>in^2</t>
  </si>
  <si>
    <t>*SIMPLY SUPPORTED*</t>
  </si>
  <si>
    <t>load, P</t>
  </si>
  <si>
    <t>length, L</t>
  </si>
  <si>
    <t>area moment, I</t>
  </si>
  <si>
    <t>max, moment, M</t>
  </si>
  <si>
    <t>elastic section modulus, S</t>
  </si>
  <si>
    <t>lb-in</t>
  </si>
  <si>
    <t>in^4</t>
  </si>
  <si>
    <r>
      <t xml:space="preserve">max bending stress, </t>
    </r>
    <r>
      <rPr>
        <sz val="11"/>
        <color theme="1"/>
        <rFont val="Aptos Narrow"/>
        <family val="2"/>
      </rPr>
      <t>σ</t>
    </r>
  </si>
  <si>
    <t>psi</t>
  </si>
  <si>
    <t>Combined (with Von-Mises) bending-torsion stress:</t>
  </si>
  <si>
    <r>
      <t xml:space="preserve">von-Mises stress,  </t>
    </r>
    <r>
      <rPr>
        <sz val="11"/>
        <color theme="1"/>
        <rFont val="Aptos Narrow"/>
        <family val="2"/>
      </rPr>
      <t>σ</t>
    </r>
  </si>
  <si>
    <r>
      <t xml:space="preserve">material yeild stress, </t>
    </r>
    <r>
      <rPr>
        <sz val="11"/>
        <color theme="1"/>
        <rFont val="Aptos Narrow"/>
        <family val="2"/>
      </rPr>
      <t>σ</t>
    </r>
  </si>
  <si>
    <t>Notes</t>
  </si>
  <si>
    <t>lbf</t>
  </si>
  <si>
    <t>weight of current dog</t>
  </si>
  <si>
    <t>factor of safety, S</t>
  </si>
  <si>
    <t>[-]</t>
  </si>
  <si>
    <t>6061 Al</t>
  </si>
  <si>
    <t>dist. to neutral axis, c</t>
  </si>
  <si>
    <t>bending about verical axis</t>
  </si>
  <si>
    <t>BEAM DEFLECTION FOR HOUSING IN BENDING</t>
  </si>
  <si>
    <t>needs to be greater than 1.5</t>
  </si>
  <si>
    <t>*DISTRIBUTED WEIGHT*</t>
  </si>
  <si>
    <t>distributed load, w</t>
  </si>
  <si>
    <t>lbf/in</t>
  </si>
  <si>
    <t>*CANTILEVER BEAM*</t>
  </si>
  <si>
    <t>point load, P</t>
  </si>
  <si>
    <t>`</t>
  </si>
  <si>
    <t>*DISTRIBUTED LOAD*</t>
  </si>
  <si>
    <t>Experimental Yield Stresses</t>
  </si>
  <si>
    <t>CF yield stress</t>
  </si>
  <si>
    <t>(psi)</t>
  </si>
  <si>
    <t>Alum yield stress</t>
  </si>
  <si>
    <t>Alum factor of safety, S</t>
  </si>
  <si>
    <t>CF factor of safety, S</t>
  </si>
  <si>
    <t>26 lbf ditributed over 14 in</t>
  </si>
  <si>
    <t>dynamic load torque (55ft-lbs = 660 lb-in from NE python) +  Full load of one leg (45 lbs * 3 in from axis)</t>
  </si>
  <si>
    <t>Load (lbs)</t>
  </si>
  <si>
    <t>P</t>
  </si>
  <si>
    <t>P/F</t>
  </si>
  <si>
    <t>Load (g)</t>
  </si>
  <si>
    <t>force of two legs on one hip (30 lbf per leg for dynamic load)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</si>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</sst>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customXml" Target="../ink/ink22.xml"/><Relationship Id="rId47" Type="http://schemas.openxmlformats.org/officeDocument/2006/relationships/image" Target="../media/image23.png"/><Relationship Id="rId63" Type="http://schemas.openxmlformats.org/officeDocument/2006/relationships/image" Target="../media/image31.png"/><Relationship Id="rId68" Type="http://schemas.openxmlformats.org/officeDocument/2006/relationships/customXml" Target="../ink/ink35.xml"/><Relationship Id="rId84" Type="http://schemas.openxmlformats.org/officeDocument/2006/relationships/customXml" Target="../ink/ink43.xml"/><Relationship Id="rId89" Type="http://schemas.openxmlformats.org/officeDocument/2006/relationships/image" Target="../media/image44.png"/><Relationship Id="rId112" Type="http://schemas.openxmlformats.org/officeDocument/2006/relationships/image" Target="../media/image55.png"/><Relationship Id="rId16" Type="http://schemas.openxmlformats.org/officeDocument/2006/relationships/image" Target="../media/image8.png"/><Relationship Id="rId107" Type="http://schemas.openxmlformats.org/officeDocument/2006/relationships/customXml" Target="../ink/ink55.xml"/><Relationship Id="rId11" Type="http://schemas.openxmlformats.org/officeDocument/2006/relationships/customXml" Target="../ink/ink6.xml"/><Relationship Id="rId32" Type="http://schemas.openxmlformats.org/officeDocument/2006/relationships/customXml" Target="../ink/ink17.xml"/><Relationship Id="rId37" Type="http://schemas.openxmlformats.org/officeDocument/2006/relationships/image" Target="../media/image18.png"/><Relationship Id="rId53" Type="http://schemas.openxmlformats.org/officeDocument/2006/relationships/image" Target="../media/image26.png"/><Relationship Id="rId58" Type="http://schemas.openxmlformats.org/officeDocument/2006/relationships/customXml" Target="../ink/ink30.xml"/><Relationship Id="rId74" Type="http://schemas.openxmlformats.org/officeDocument/2006/relationships/customXml" Target="../ink/ink38.xml"/><Relationship Id="rId79" Type="http://schemas.openxmlformats.org/officeDocument/2006/relationships/image" Target="../media/image39.png"/><Relationship Id="rId102" Type="http://schemas.openxmlformats.org/officeDocument/2006/relationships/image" Target="../media/image50.png"/><Relationship Id="rId5" Type="http://schemas.openxmlformats.org/officeDocument/2006/relationships/customXml" Target="../ink/ink3.xml"/><Relationship Id="rId90" Type="http://schemas.openxmlformats.org/officeDocument/2006/relationships/customXml" Target="../ink/ink46.xml"/><Relationship Id="rId95" Type="http://schemas.openxmlformats.org/officeDocument/2006/relationships/customXml" Target="../ink/ink49.xml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image" Target="../media/image21.png"/><Relationship Id="rId48" Type="http://schemas.openxmlformats.org/officeDocument/2006/relationships/customXml" Target="../ink/ink25.xml"/><Relationship Id="rId64" Type="http://schemas.openxmlformats.org/officeDocument/2006/relationships/customXml" Target="../ink/ink33.xml"/><Relationship Id="rId69" Type="http://schemas.openxmlformats.org/officeDocument/2006/relationships/image" Target="../media/image34.png"/><Relationship Id="rId80" Type="http://schemas.openxmlformats.org/officeDocument/2006/relationships/customXml" Target="../ink/ink41.xml"/><Relationship Id="rId85" Type="http://schemas.openxmlformats.org/officeDocument/2006/relationships/image" Target="../media/image42.png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image" Target="../media/image16.png"/><Relationship Id="rId38" Type="http://schemas.openxmlformats.org/officeDocument/2006/relationships/customXml" Target="../ink/ink20.xml"/><Relationship Id="rId59" Type="http://schemas.openxmlformats.org/officeDocument/2006/relationships/image" Target="../media/image29.png"/><Relationship Id="rId103" Type="http://schemas.openxmlformats.org/officeDocument/2006/relationships/customXml" Target="../ink/ink53.xml"/><Relationship Id="rId108" Type="http://schemas.openxmlformats.org/officeDocument/2006/relationships/image" Target="../media/image53.png"/><Relationship Id="rId54" Type="http://schemas.openxmlformats.org/officeDocument/2006/relationships/customXml" Target="../ink/ink28.xml"/><Relationship Id="rId70" Type="http://schemas.openxmlformats.org/officeDocument/2006/relationships/customXml" Target="../ink/ink36.xml"/><Relationship Id="rId75" Type="http://schemas.openxmlformats.org/officeDocument/2006/relationships/image" Target="../media/image37.png"/><Relationship Id="rId91" Type="http://schemas.openxmlformats.org/officeDocument/2006/relationships/customXml" Target="../ink/ink47.xml"/><Relationship Id="rId96" Type="http://schemas.openxmlformats.org/officeDocument/2006/relationships/image" Target="../media/image47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customXml" Target="../ink/ink15.xml"/><Relationship Id="rId36" Type="http://schemas.openxmlformats.org/officeDocument/2006/relationships/customXml" Target="../ink/ink19.xml"/><Relationship Id="rId49" Type="http://schemas.openxmlformats.org/officeDocument/2006/relationships/image" Target="../media/image24.png"/><Relationship Id="rId57" Type="http://schemas.openxmlformats.org/officeDocument/2006/relationships/image" Target="../media/image28.png"/><Relationship Id="rId106" Type="http://schemas.openxmlformats.org/officeDocument/2006/relationships/image" Target="../media/image52.png"/><Relationship Id="rId10" Type="http://schemas.openxmlformats.org/officeDocument/2006/relationships/image" Target="../media/image5.png"/><Relationship Id="rId31" Type="http://schemas.openxmlformats.org/officeDocument/2006/relationships/image" Target="../media/image15.png"/><Relationship Id="rId44" Type="http://schemas.openxmlformats.org/officeDocument/2006/relationships/customXml" Target="../ink/ink23.xml"/><Relationship Id="rId52" Type="http://schemas.openxmlformats.org/officeDocument/2006/relationships/customXml" Target="../ink/ink27.xml"/><Relationship Id="rId60" Type="http://schemas.openxmlformats.org/officeDocument/2006/relationships/customXml" Target="../ink/ink31.xml"/><Relationship Id="rId65" Type="http://schemas.openxmlformats.org/officeDocument/2006/relationships/image" Target="../media/image32.png"/><Relationship Id="rId73" Type="http://schemas.openxmlformats.org/officeDocument/2006/relationships/image" Target="../media/image36.png"/><Relationship Id="rId78" Type="http://schemas.openxmlformats.org/officeDocument/2006/relationships/customXml" Target="../ink/ink40.xml"/><Relationship Id="rId81" Type="http://schemas.openxmlformats.org/officeDocument/2006/relationships/image" Target="../media/image40.png"/><Relationship Id="rId86" Type="http://schemas.openxmlformats.org/officeDocument/2006/relationships/customXml" Target="../ink/ink44.xml"/><Relationship Id="rId94" Type="http://schemas.openxmlformats.org/officeDocument/2006/relationships/image" Target="../media/image46.png"/><Relationship Id="rId99" Type="http://schemas.openxmlformats.org/officeDocument/2006/relationships/customXml" Target="../ink/ink51.xml"/><Relationship Id="rId101" Type="http://schemas.openxmlformats.org/officeDocument/2006/relationships/customXml" Target="../ink/ink52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image" Target="../media/image19.png"/><Relationship Id="rId109" Type="http://schemas.openxmlformats.org/officeDocument/2006/relationships/customXml" Target="../ink/ink56.xml"/><Relationship Id="rId34" Type="http://schemas.openxmlformats.org/officeDocument/2006/relationships/customXml" Target="../ink/ink18.xml"/><Relationship Id="rId50" Type="http://schemas.openxmlformats.org/officeDocument/2006/relationships/customXml" Target="../ink/ink26.xml"/><Relationship Id="rId55" Type="http://schemas.openxmlformats.org/officeDocument/2006/relationships/image" Target="../media/image27.png"/><Relationship Id="rId76" Type="http://schemas.openxmlformats.org/officeDocument/2006/relationships/customXml" Target="../ink/ink39.xml"/><Relationship Id="rId97" Type="http://schemas.openxmlformats.org/officeDocument/2006/relationships/customXml" Target="../ink/ink50.xml"/><Relationship Id="rId104" Type="http://schemas.openxmlformats.org/officeDocument/2006/relationships/image" Target="../media/image51.png"/><Relationship Id="rId7" Type="http://schemas.openxmlformats.org/officeDocument/2006/relationships/customXml" Target="../ink/ink4.xml"/><Relationship Id="rId71" Type="http://schemas.openxmlformats.org/officeDocument/2006/relationships/image" Target="../media/image35.png"/><Relationship Id="rId92" Type="http://schemas.openxmlformats.org/officeDocument/2006/relationships/image" Target="../media/image45.png"/><Relationship Id="rId2" Type="http://schemas.openxmlformats.org/officeDocument/2006/relationships/image" Target="../media/image1.png"/><Relationship Id="rId29" Type="http://schemas.openxmlformats.org/officeDocument/2006/relationships/image" Target="../media/image14.png"/><Relationship Id="rId24" Type="http://schemas.openxmlformats.org/officeDocument/2006/relationships/image" Target="../media/image12.png"/><Relationship Id="rId40" Type="http://schemas.openxmlformats.org/officeDocument/2006/relationships/customXml" Target="../ink/ink21.xml"/><Relationship Id="rId45" Type="http://schemas.openxmlformats.org/officeDocument/2006/relationships/image" Target="../media/image22.png"/><Relationship Id="rId66" Type="http://schemas.openxmlformats.org/officeDocument/2006/relationships/customXml" Target="../ink/ink34.xml"/><Relationship Id="rId87" Type="http://schemas.openxmlformats.org/officeDocument/2006/relationships/image" Target="../media/image43.png"/><Relationship Id="rId110" Type="http://schemas.openxmlformats.org/officeDocument/2006/relationships/image" Target="../media/image54.png"/><Relationship Id="rId61" Type="http://schemas.openxmlformats.org/officeDocument/2006/relationships/image" Target="../media/image30.png"/><Relationship Id="rId82" Type="http://schemas.openxmlformats.org/officeDocument/2006/relationships/customXml" Target="../ink/ink42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customXml" Target="../ink/ink16.xml"/><Relationship Id="rId35" Type="http://schemas.openxmlformats.org/officeDocument/2006/relationships/image" Target="../media/image17.png"/><Relationship Id="rId56" Type="http://schemas.openxmlformats.org/officeDocument/2006/relationships/customXml" Target="../ink/ink29.xml"/><Relationship Id="rId77" Type="http://schemas.openxmlformats.org/officeDocument/2006/relationships/image" Target="../media/image38.png"/><Relationship Id="rId100" Type="http://schemas.openxmlformats.org/officeDocument/2006/relationships/image" Target="../media/image49.png"/><Relationship Id="rId105" Type="http://schemas.openxmlformats.org/officeDocument/2006/relationships/customXml" Target="../ink/ink54.xml"/><Relationship Id="rId8" Type="http://schemas.openxmlformats.org/officeDocument/2006/relationships/image" Target="../media/image4.png"/><Relationship Id="rId51" Type="http://schemas.openxmlformats.org/officeDocument/2006/relationships/image" Target="../media/image25.png"/><Relationship Id="rId72" Type="http://schemas.openxmlformats.org/officeDocument/2006/relationships/customXml" Target="../ink/ink37.xml"/><Relationship Id="rId93" Type="http://schemas.openxmlformats.org/officeDocument/2006/relationships/customXml" Target="../ink/ink48.xml"/><Relationship Id="rId98" Type="http://schemas.openxmlformats.org/officeDocument/2006/relationships/image" Target="../media/image48.png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customXml" Target="../ink/ink24.xml"/><Relationship Id="rId67" Type="http://schemas.openxmlformats.org/officeDocument/2006/relationships/image" Target="../media/image33.png"/><Relationship Id="rId20" Type="http://schemas.openxmlformats.org/officeDocument/2006/relationships/image" Target="../media/image10.png"/><Relationship Id="rId41" Type="http://schemas.openxmlformats.org/officeDocument/2006/relationships/image" Target="../media/image20.png"/><Relationship Id="rId62" Type="http://schemas.openxmlformats.org/officeDocument/2006/relationships/customXml" Target="../ink/ink32.xml"/><Relationship Id="rId83" Type="http://schemas.openxmlformats.org/officeDocument/2006/relationships/image" Target="../media/image41.png"/><Relationship Id="rId88" Type="http://schemas.openxmlformats.org/officeDocument/2006/relationships/customXml" Target="../ink/ink45.xml"/><Relationship Id="rId111" Type="http://schemas.openxmlformats.org/officeDocument/2006/relationships/customXml" Target="../ink/ink5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60.xml"/><Relationship Id="rId13" Type="http://schemas.openxmlformats.org/officeDocument/2006/relationships/image" Target="../media/image80.png"/><Relationship Id="rId18" Type="http://schemas.openxmlformats.org/officeDocument/2006/relationships/customXml" Target="../ink/ink65.xml"/><Relationship Id="rId3" Type="http://schemas.openxmlformats.org/officeDocument/2006/relationships/image" Target="../media/image56.png"/><Relationship Id="rId21" Type="http://schemas.openxmlformats.org/officeDocument/2006/relationships/image" Target="../media/image120.png"/><Relationship Id="rId7" Type="http://schemas.openxmlformats.org/officeDocument/2006/relationships/image" Target="../media/image560.png"/><Relationship Id="rId12" Type="http://schemas.openxmlformats.org/officeDocument/2006/relationships/customXml" Target="../ink/ink62.xml"/><Relationship Id="rId17" Type="http://schemas.openxmlformats.org/officeDocument/2006/relationships/image" Target="../media/image100.png"/><Relationship Id="rId2" Type="http://schemas.openxmlformats.org/officeDocument/2006/relationships/image" Target="../media/image2.jpeg"/><Relationship Id="rId16" Type="http://schemas.openxmlformats.org/officeDocument/2006/relationships/customXml" Target="../ink/ink64.xml"/><Relationship Id="rId20" Type="http://schemas.openxmlformats.org/officeDocument/2006/relationships/customXml" Target="../ink/ink66.xml"/><Relationship Id="rId1" Type="http://schemas.openxmlformats.org/officeDocument/2006/relationships/image" Target="../media/image1.jpeg"/><Relationship Id="rId6" Type="http://schemas.openxmlformats.org/officeDocument/2006/relationships/customXml" Target="../ink/ink59.xml"/><Relationship Id="rId11" Type="http://schemas.openxmlformats.org/officeDocument/2006/relationships/image" Target="../media/image71.png"/><Relationship Id="rId5" Type="http://schemas.openxmlformats.org/officeDocument/2006/relationships/image" Target="../media/image410.png"/><Relationship Id="rId15" Type="http://schemas.openxmlformats.org/officeDocument/2006/relationships/image" Target="../media/image90.png"/><Relationship Id="rId23" Type="http://schemas.openxmlformats.org/officeDocument/2006/relationships/image" Target="../media/image130.png"/><Relationship Id="rId10" Type="http://schemas.openxmlformats.org/officeDocument/2006/relationships/customXml" Target="../ink/ink61.xml"/><Relationship Id="rId19" Type="http://schemas.openxmlformats.org/officeDocument/2006/relationships/image" Target="../media/image110.png"/><Relationship Id="rId4" Type="http://schemas.openxmlformats.org/officeDocument/2006/relationships/customXml" Target="../ink/ink58.xml"/><Relationship Id="rId9" Type="http://schemas.openxmlformats.org/officeDocument/2006/relationships/image" Target="../media/image61.png"/><Relationship Id="rId14" Type="http://schemas.openxmlformats.org/officeDocument/2006/relationships/customXml" Target="../ink/ink63.xml"/><Relationship Id="rId22" Type="http://schemas.openxmlformats.org/officeDocument/2006/relationships/customXml" Target="../ink/ink6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69.xml"/><Relationship Id="rId2" Type="http://schemas.openxmlformats.org/officeDocument/2006/relationships/image" Target="../media/image60.png"/><Relationship Id="rId1" Type="http://schemas.openxmlformats.org/officeDocument/2006/relationships/customXml" Target="../ink/ink68.xml"/><Relationship Id="rId5" Type="http://schemas.openxmlformats.org/officeDocument/2006/relationships/image" Target="../media/image57.png"/><Relationship Id="rId4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29391</xdr:colOff>
      <xdr:row>3</xdr:row>
      <xdr:rowOff>137160</xdr:rowOff>
    </xdr:from>
    <xdr:to>
      <xdr:col>15</xdr:col>
      <xdr:colOff>60951</xdr:colOff>
      <xdr:row>11</xdr:row>
      <xdr:rowOff>41761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DE5870D-92E7-0F9A-2415-F1E35B1E70EC}"/>
                </a:ext>
              </a:extLst>
            </xdr14:cNvPr>
            <xdr14:cNvContentPartPr/>
          </xdr14:nvContentPartPr>
          <xdr14:nvPr macro=""/>
          <xdr14:xfrm>
            <a:off x="6715034" y="681446"/>
            <a:ext cx="2462703" cy="1356029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DE5870D-92E7-0F9A-2415-F1E35B1E70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13388" y="494169"/>
              <a:ext cx="2487662" cy="1384792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385717</xdr:colOff>
      <xdr:row>13</xdr:row>
      <xdr:rowOff>129541</xdr:rowOff>
    </xdr:from>
    <xdr:to>
      <xdr:col>17</xdr:col>
      <xdr:colOff>126052</xdr:colOff>
      <xdr:row>19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2BCF556-AFBE-F92F-5161-A4AFFE54B5E7}"/>
                </a:ext>
              </a:extLst>
            </xdr14:cNvPr>
            <xdr14:cNvContentPartPr/>
          </xdr14:nvContentPartPr>
          <xdr14:nvPr macro=""/>
          <xdr14:xfrm>
            <a:off x="6463574" y="2488112"/>
            <a:ext cx="3994835" cy="1124211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2BCF556-AFBE-F92F-5161-A4AFFE54B5E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861931" y="2315326"/>
              <a:ext cx="4023417" cy="11501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486045</xdr:colOff>
      <xdr:row>22</xdr:row>
      <xdr:rowOff>165094</xdr:rowOff>
    </xdr:from>
    <xdr:to>
      <xdr:col>4</xdr:col>
      <xdr:colOff>486405</xdr:colOff>
      <xdr:row>22</xdr:row>
      <xdr:rowOff>174154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53453FB-A3F2-F704-A2D7-2858FC7A1DB3}"/>
                </a:ext>
              </a:extLst>
            </xdr14:cNvPr>
            <xdr14:cNvContentPartPr/>
          </xdr14:nvContentPartPr>
          <xdr14:nvPr macro=""/>
          <xdr14:xfrm>
            <a:off x="2927555" y="4185033"/>
            <a:ext cx="360" cy="14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53453FB-A3F2-F704-A2D7-2858FC7A1DB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923235" y="4180713"/>
              <a:ext cx="9000" cy="1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449527</xdr:colOff>
      <xdr:row>22</xdr:row>
      <xdr:rowOff>155014</xdr:rowOff>
    </xdr:from>
    <xdr:to>
      <xdr:col>6</xdr:col>
      <xdr:colOff>512107</xdr:colOff>
      <xdr:row>23</xdr:row>
      <xdr:rowOff>2147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825DDFA-970A-274D-078F-96E464C9638F}"/>
                </a:ext>
              </a:extLst>
            </xdr14:cNvPr>
            <xdr14:cNvContentPartPr/>
          </xdr14:nvContentPartPr>
          <xdr14:nvPr macro=""/>
          <xdr14:xfrm>
            <a:off x="4092840" y="4215045"/>
            <a:ext cx="70200" cy="316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825DDFA-970A-274D-078F-96E464C9638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088520" y="4210725"/>
              <a:ext cx="7884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154069</xdr:colOff>
      <xdr:row>22</xdr:row>
      <xdr:rowOff>138094</xdr:rowOff>
    </xdr:from>
    <xdr:to>
      <xdr:col>7</xdr:col>
      <xdr:colOff>572389</xdr:colOff>
      <xdr:row>23</xdr:row>
      <xdr:rowOff>89477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2DCB134-042C-8DB4-C897-C68FEDF2ACB1}"/>
                </a:ext>
              </a:extLst>
            </xdr14:cNvPr>
            <xdr14:cNvContentPartPr/>
          </xdr14:nvContentPartPr>
          <xdr14:nvPr macro=""/>
          <xdr14:xfrm>
            <a:off x="4404600" y="4198125"/>
            <a:ext cx="418320" cy="1321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2DCB134-042C-8DB4-C897-C68FEDF2ACB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395960" y="4189149"/>
              <a:ext cx="435960" cy="1497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173250</xdr:colOff>
      <xdr:row>22</xdr:row>
      <xdr:rowOff>133414</xdr:rowOff>
    </xdr:from>
    <xdr:to>
      <xdr:col>9</xdr:col>
      <xdr:colOff>127121</xdr:colOff>
      <xdr:row>23</xdr:row>
      <xdr:rowOff>89117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C6B9962-343D-F1E7-252D-4558FB4F4D98}"/>
                </a:ext>
              </a:extLst>
            </xdr14:cNvPr>
            <xdr14:cNvContentPartPr/>
          </xdr14:nvContentPartPr>
          <xdr14:nvPr macro=""/>
          <xdr14:xfrm>
            <a:off x="5031000" y="4193445"/>
            <a:ext cx="557280" cy="1364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C6B9962-343D-F1E7-252D-4558FB4F4D9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022354" y="4184445"/>
              <a:ext cx="574931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564859</xdr:colOff>
      <xdr:row>24</xdr:row>
      <xdr:rowOff>167350</xdr:rowOff>
    </xdr:from>
    <xdr:to>
      <xdr:col>7</xdr:col>
      <xdr:colOff>16054</xdr:colOff>
      <xdr:row>25</xdr:row>
      <xdr:rowOff>19586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952286D6-3CBE-FBA2-525A-312E0BAB60A8}"/>
                </a:ext>
              </a:extLst>
            </xdr14:cNvPr>
            <xdr14:cNvContentPartPr/>
          </xdr14:nvContentPartPr>
          <xdr14:nvPr macro=""/>
          <xdr14:xfrm>
            <a:off x="4222459" y="4594971"/>
            <a:ext cx="55080" cy="367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952286D6-3CBE-FBA2-525A-312E0BAB60A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213762" y="4586058"/>
              <a:ext cx="72836" cy="54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159677</xdr:colOff>
      <xdr:row>24</xdr:row>
      <xdr:rowOff>130639</xdr:rowOff>
    </xdr:from>
    <xdr:to>
      <xdr:col>7</xdr:col>
      <xdr:colOff>211517</xdr:colOff>
      <xdr:row>25</xdr:row>
      <xdr:rowOff>1401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720CCFD-3EDB-7916-D3F7-0DC7B0AB72BA}"/>
                </a:ext>
              </a:extLst>
            </xdr14:cNvPr>
            <xdr14:cNvContentPartPr/>
          </xdr14:nvContentPartPr>
          <xdr14:nvPr macro=""/>
          <xdr14:xfrm>
            <a:off x="4432320" y="4516027"/>
            <a:ext cx="51840" cy="496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720CCFD-3EDB-7916-D3F7-0DC7B0AB72B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423320" y="4507027"/>
              <a:ext cx="6948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204317</xdr:colOff>
      <xdr:row>24</xdr:row>
      <xdr:rowOff>143959</xdr:rowOff>
    </xdr:from>
    <xdr:to>
      <xdr:col>7</xdr:col>
      <xdr:colOff>240167</xdr:colOff>
      <xdr:row>25</xdr:row>
      <xdr:rowOff>38995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E4E0B13-763C-E49B-5CB3-8552A522C211}"/>
                </a:ext>
              </a:extLst>
            </xdr14:cNvPr>
            <xdr14:cNvContentPartPr/>
          </xdr14:nvContentPartPr>
          <xdr14:nvPr macro=""/>
          <xdr14:xfrm>
            <a:off x="4476960" y="4529347"/>
            <a:ext cx="32040" cy="777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E4E0B13-763C-E49B-5CB3-8552A522C21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467960" y="4520347"/>
              <a:ext cx="4968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265517</xdr:colOff>
      <xdr:row>24</xdr:row>
      <xdr:rowOff>140359</xdr:rowOff>
    </xdr:from>
    <xdr:to>
      <xdr:col>7</xdr:col>
      <xdr:colOff>323057</xdr:colOff>
      <xdr:row>25</xdr:row>
      <xdr:rowOff>16615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6ACC503-D148-AC70-4DE1-13669138E653}"/>
                </a:ext>
              </a:extLst>
            </xdr14:cNvPr>
            <xdr14:cNvContentPartPr/>
          </xdr14:nvContentPartPr>
          <xdr14:nvPr macro=""/>
          <xdr14:xfrm>
            <a:off x="4538160" y="4525747"/>
            <a:ext cx="65160" cy="666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6ACC503-D148-AC70-4DE1-13669138E65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529520" y="4516747"/>
              <a:ext cx="8280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353717</xdr:colOff>
      <xdr:row>24</xdr:row>
      <xdr:rowOff>119479</xdr:rowOff>
    </xdr:from>
    <xdr:to>
      <xdr:col>7</xdr:col>
      <xdr:colOff>435032</xdr:colOff>
      <xdr:row>25</xdr:row>
      <xdr:rowOff>21760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9E8D0E6-08D2-0CA5-8B9B-E708E475BEDE}"/>
                </a:ext>
              </a:extLst>
            </xdr14:cNvPr>
            <xdr14:cNvContentPartPr/>
          </xdr14:nvContentPartPr>
          <xdr14:nvPr macro=""/>
          <xdr14:xfrm>
            <a:off x="4626360" y="4504867"/>
            <a:ext cx="75600" cy="907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9E8D0E6-08D2-0CA5-8B9B-E708E475BED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617360" y="4495867"/>
              <a:ext cx="9324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483317</xdr:colOff>
      <xdr:row>25</xdr:row>
      <xdr:rowOff>8035</xdr:rowOff>
    </xdr:from>
    <xdr:to>
      <xdr:col>7</xdr:col>
      <xdr:colOff>486872</xdr:colOff>
      <xdr:row>25</xdr:row>
      <xdr:rowOff>16630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2B52D12D-DBF6-9996-438B-9EF3BDAA2B2F}"/>
                </a:ext>
              </a:extLst>
            </xdr14:cNvPr>
            <xdr14:cNvContentPartPr/>
          </xdr14:nvContentPartPr>
          <xdr14:nvPr macro=""/>
          <xdr14:xfrm>
            <a:off x="4755960" y="4576147"/>
            <a:ext cx="2160" cy="28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2B52D12D-DBF6-9996-438B-9EF3BDAA2B2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747320" y="4567507"/>
              <a:ext cx="1980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552437</xdr:colOff>
      <xdr:row>24</xdr:row>
      <xdr:rowOff>124159</xdr:rowOff>
    </xdr:from>
    <xdr:to>
      <xdr:col>8</xdr:col>
      <xdr:colOff>677</xdr:colOff>
      <xdr:row>25</xdr:row>
      <xdr:rowOff>34675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F6FB69A-0622-C584-9B6A-5B7B6322DA7E}"/>
                </a:ext>
              </a:extLst>
            </xdr14:cNvPr>
            <xdr14:cNvContentPartPr/>
          </xdr14:nvContentPartPr>
          <xdr14:nvPr macro=""/>
          <xdr14:xfrm>
            <a:off x="4825080" y="4509547"/>
            <a:ext cx="57240" cy="932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F6FB69A-0622-C584-9B6A-5B7B6322DA7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816080" y="4500907"/>
              <a:ext cx="7488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192620</xdr:colOff>
      <xdr:row>24</xdr:row>
      <xdr:rowOff>104719</xdr:rowOff>
    </xdr:from>
    <xdr:to>
      <xdr:col>8</xdr:col>
      <xdr:colOff>192980</xdr:colOff>
      <xdr:row>24</xdr:row>
      <xdr:rowOff>105079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3F7D4302-754F-601D-4AF4-9A949FE5548B}"/>
                </a:ext>
              </a:extLst>
            </xdr14:cNvPr>
            <xdr14:cNvContentPartPr/>
          </xdr14:nvContentPartPr>
          <xdr14:nvPr macro=""/>
          <xdr14:xfrm>
            <a:off x="5075640" y="4490107"/>
            <a:ext cx="360" cy="3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3F7D4302-754F-601D-4AF4-9A949FE5548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066640" y="448146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201260</xdr:colOff>
      <xdr:row>24</xdr:row>
      <xdr:rowOff>108319</xdr:rowOff>
    </xdr:from>
    <xdr:to>
      <xdr:col>9</xdr:col>
      <xdr:colOff>16402</xdr:colOff>
      <xdr:row>25</xdr:row>
      <xdr:rowOff>38635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2DC49890-7FB0-A929-69B0-456328B571DA}"/>
                </a:ext>
              </a:extLst>
            </xdr14:cNvPr>
            <xdr14:cNvContentPartPr/>
          </xdr14:nvContentPartPr>
          <xdr14:nvPr macro=""/>
          <xdr14:xfrm>
            <a:off x="5084280" y="4493707"/>
            <a:ext cx="425520" cy="1130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2DC49890-7FB0-A929-69B0-456328B571D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075640" y="4484707"/>
              <a:ext cx="44316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89423</xdr:colOff>
      <xdr:row>26</xdr:row>
      <xdr:rowOff>69496</xdr:rowOff>
    </xdr:from>
    <xdr:to>
      <xdr:col>4</xdr:col>
      <xdr:colOff>346103</xdr:colOff>
      <xdr:row>26</xdr:row>
      <xdr:rowOff>168496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E9518D8-3D84-A16E-5266-81D84DF1D63C}"/>
                </a:ext>
              </a:extLst>
            </xdr14:cNvPr>
            <xdr14:cNvContentPartPr/>
          </xdr14:nvContentPartPr>
          <xdr14:nvPr macro=""/>
          <xdr14:xfrm>
            <a:off x="2530933" y="4820333"/>
            <a:ext cx="256680" cy="990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E9518D8-3D84-A16E-5266-81D84DF1D63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522293" y="4811333"/>
              <a:ext cx="27432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531503</xdr:colOff>
      <xdr:row>26</xdr:row>
      <xdr:rowOff>82096</xdr:rowOff>
    </xdr:from>
    <xdr:to>
      <xdr:col>5</xdr:col>
      <xdr:colOff>39565</xdr:colOff>
      <xdr:row>26</xdr:row>
      <xdr:rowOff>173536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2DCBF236-FEDC-0349-BDA9-97F2ECBFF708}"/>
                </a:ext>
              </a:extLst>
            </xdr14:cNvPr>
            <xdr14:cNvContentPartPr/>
          </xdr14:nvContentPartPr>
          <xdr14:nvPr macro=""/>
          <xdr14:xfrm>
            <a:off x="2973013" y="4832933"/>
            <a:ext cx="118440" cy="914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2DCBF236-FEDC-0349-BDA9-97F2ECBFF70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964373" y="4823933"/>
              <a:ext cx="13608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269605</xdr:colOff>
      <xdr:row>26</xdr:row>
      <xdr:rowOff>77416</xdr:rowOff>
    </xdr:from>
    <xdr:to>
      <xdr:col>5</xdr:col>
      <xdr:colOff>533485</xdr:colOff>
      <xdr:row>27</xdr:row>
      <xdr:rowOff>98512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FD2E7BB-F852-DE11-1639-D91C78BD36C6}"/>
                </a:ext>
              </a:extLst>
            </xdr14:cNvPr>
            <xdr14:cNvContentPartPr/>
          </xdr14:nvContentPartPr>
          <xdr14:nvPr macro=""/>
          <xdr14:xfrm>
            <a:off x="3321493" y="4828253"/>
            <a:ext cx="263880" cy="1962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FD2E7BB-F852-DE11-1639-D91C78BD36C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312493" y="4819253"/>
              <a:ext cx="28152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29668</xdr:colOff>
      <xdr:row>26</xdr:row>
      <xdr:rowOff>109456</xdr:rowOff>
    </xdr:from>
    <xdr:to>
      <xdr:col>6</xdr:col>
      <xdr:colOff>168988</xdr:colOff>
      <xdr:row>27</xdr:row>
      <xdr:rowOff>58492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CE0764AA-DAB3-2F04-2892-DBB283B0D7D5}"/>
                </a:ext>
              </a:extLst>
            </xdr14:cNvPr>
            <xdr14:cNvContentPartPr/>
          </xdr14:nvContentPartPr>
          <xdr14:nvPr macro=""/>
          <xdr14:xfrm>
            <a:off x="3691933" y="4860293"/>
            <a:ext cx="139320" cy="1317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CE0764AA-DAB3-2F04-2892-DBB283B0D7D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82910" y="4851293"/>
              <a:ext cx="157006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356543</xdr:colOff>
      <xdr:row>27</xdr:row>
      <xdr:rowOff>134092</xdr:rowOff>
    </xdr:from>
    <xdr:to>
      <xdr:col>4</xdr:col>
      <xdr:colOff>476843</xdr:colOff>
      <xdr:row>28</xdr:row>
      <xdr:rowOff>53967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087D49A-546F-5F68-4E4D-DA488BA325BD}"/>
                </a:ext>
              </a:extLst>
            </xdr14:cNvPr>
            <xdr14:cNvContentPartPr/>
          </xdr14:nvContentPartPr>
          <xdr14:nvPr macro=""/>
          <xdr14:xfrm>
            <a:off x="2798053" y="5067653"/>
            <a:ext cx="112680" cy="1026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087D49A-546F-5F68-4E4D-DA488BA325B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89053" y="5058653"/>
              <a:ext cx="13032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490103</xdr:colOff>
      <xdr:row>27</xdr:row>
      <xdr:rowOff>153172</xdr:rowOff>
    </xdr:from>
    <xdr:to>
      <xdr:col>4</xdr:col>
      <xdr:colOff>523373</xdr:colOff>
      <xdr:row>28</xdr:row>
      <xdr:rowOff>9537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42CAE56F-7E3D-6E38-24D7-31A3236ED71E}"/>
                </a:ext>
              </a:extLst>
            </xdr14:cNvPr>
            <xdr14:cNvContentPartPr/>
          </xdr14:nvContentPartPr>
          <xdr14:nvPr macro=""/>
          <xdr14:xfrm>
            <a:off x="2931613" y="5086733"/>
            <a:ext cx="37080" cy="352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42CAE56F-7E3D-6E38-24D7-31A3236ED71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922613" y="5077733"/>
              <a:ext cx="54720" cy="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531503</xdr:colOff>
      <xdr:row>27</xdr:row>
      <xdr:rowOff>144892</xdr:rowOff>
    </xdr:from>
    <xdr:to>
      <xdr:col>4</xdr:col>
      <xdr:colOff>574703</xdr:colOff>
      <xdr:row>28</xdr:row>
      <xdr:rowOff>173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4C35FE6D-F326-554C-5234-9142062D457A}"/>
                </a:ext>
              </a:extLst>
            </xdr14:cNvPr>
            <xdr14:cNvContentPartPr/>
          </xdr14:nvContentPartPr>
          <xdr14:nvPr macro=""/>
          <xdr14:xfrm>
            <a:off x="2973013" y="5078453"/>
            <a:ext cx="43200" cy="342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4C35FE6D-F326-554C-5234-9142062D457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964013" y="5069813"/>
              <a:ext cx="6084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572543</xdr:colOff>
      <xdr:row>27</xdr:row>
      <xdr:rowOff>106732</xdr:rowOff>
    </xdr:from>
    <xdr:to>
      <xdr:col>4</xdr:col>
      <xdr:colOff>598973</xdr:colOff>
      <xdr:row>28</xdr:row>
      <xdr:rowOff>893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00EFEFDC-5A0B-6A45-521D-5AE9351219E8}"/>
                </a:ext>
              </a:extLst>
            </xdr14:cNvPr>
            <xdr14:cNvContentPartPr/>
          </xdr14:nvContentPartPr>
          <xdr14:nvPr macro=""/>
          <xdr14:xfrm>
            <a:off x="3014053" y="5040293"/>
            <a:ext cx="30240" cy="7308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00EFEFDC-5A0B-6A45-521D-5AE9351219E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005053" y="5031653"/>
              <a:ext cx="4788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598823</xdr:colOff>
      <xdr:row>27</xdr:row>
      <xdr:rowOff>113212</xdr:rowOff>
    </xdr:from>
    <xdr:to>
      <xdr:col>5</xdr:col>
      <xdr:colOff>18685</xdr:colOff>
      <xdr:row>27</xdr:row>
      <xdr:rowOff>170032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62DF584B-0707-563D-3B45-24CEAB96E4F4}"/>
                </a:ext>
              </a:extLst>
            </xdr14:cNvPr>
            <xdr14:cNvContentPartPr/>
          </xdr14:nvContentPartPr>
          <xdr14:nvPr macro=""/>
          <xdr14:xfrm>
            <a:off x="3040333" y="5046773"/>
            <a:ext cx="30240" cy="644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62DF584B-0707-563D-3B45-24CEAB96E4F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31693" y="5037773"/>
              <a:ext cx="4788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38845</xdr:colOff>
      <xdr:row>27</xdr:row>
      <xdr:rowOff>137332</xdr:rowOff>
    </xdr:from>
    <xdr:to>
      <xdr:col>5</xdr:col>
      <xdr:colOff>84055</xdr:colOff>
      <xdr:row>28</xdr:row>
      <xdr:rowOff>1241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2C421F7A-BFF3-25CA-6576-914D567D2605}"/>
                </a:ext>
              </a:extLst>
            </xdr14:cNvPr>
            <xdr14:cNvContentPartPr/>
          </xdr14:nvContentPartPr>
          <xdr14:nvPr macro=""/>
          <xdr14:xfrm>
            <a:off x="3090733" y="5070893"/>
            <a:ext cx="41400" cy="446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2C421F7A-BFF3-25CA-6576-914D567D260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082093" y="5061893"/>
              <a:ext cx="590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93925</xdr:colOff>
      <xdr:row>27</xdr:row>
      <xdr:rowOff>119332</xdr:rowOff>
    </xdr:from>
    <xdr:to>
      <xdr:col>5</xdr:col>
      <xdr:colOff>136090</xdr:colOff>
      <xdr:row>28</xdr:row>
      <xdr:rowOff>22707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77B08478-D206-19A5-91B1-3C59081ADBE6}"/>
                </a:ext>
              </a:extLst>
            </xdr14:cNvPr>
            <xdr14:cNvContentPartPr/>
          </xdr14:nvContentPartPr>
          <xdr14:nvPr macro=""/>
          <xdr14:xfrm>
            <a:off x="3145813" y="5052893"/>
            <a:ext cx="47880" cy="7848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77B08478-D206-19A5-91B1-3C59081ADBE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136813" y="5043893"/>
              <a:ext cx="6552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286885</xdr:colOff>
      <xdr:row>27</xdr:row>
      <xdr:rowOff>145612</xdr:rowOff>
    </xdr:from>
    <xdr:to>
      <xdr:col>5</xdr:col>
      <xdr:colOff>371275</xdr:colOff>
      <xdr:row>28</xdr:row>
      <xdr:rowOff>9897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72C2AD60-7B1C-046F-1913-77BF4E2BF78D}"/>
                </a:ext>
              </a:extLst>
            </xdr14:cNvPr>
            <xdr14:cNvContentPartPr/>
          </xdr14:nvContentPartPr>
          <xdr14:nvPr macro=""/>
          <xdr14:xfrm>
            <a:off x="3338773" y="5079173"/>
            <a:ext cx="88200" cy="432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72C2AD60-7B1C-046F-1913-77BF4E2BF78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330133" y="5070173"/>
              <a:ext cx="105840" cy="6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378325</xdr:colOff>
      <xdr:row>27</xdr:row>
      <xdr:rowOff>153892</xdr:rowOff>
    </xdr:from>
    <xdr:to>
      <xdr:col>5</xdr:col>
      <xdr:colOff>437665</xdr:colOff>
      <xdr:row>28</xdr:row>
      <xdr:rowOff>9177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CE351A6A-5AAD-91C4-E2B9-E57335D67E15}"/>
                </a:ext>
              </a:extLst>
            </xdr14:cNvPr>
            <xdr14:cNvContentPartPr/>
          </xdr14:nvContentPartPr>
          <xdr14:nvPr macro=""/>
          <xdr14:xfrm>
            <a:off x="3430213" y="5087453"/>
            <a:ext cx="66960" cy="342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CE351A6A-5AAD-91C4-E2B9-E57335D67E1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421573" y="5078813"/>
              <a:ext cx="8460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410005</xdr:colOff>
      <xdr:row>27</xdr:row>
      <xdr:rowOff>157492</xdr:rowOff>
    </xdr:from>
    <xdr:to>
      <xdr:col>5</xdr:col>
      <xdr:colOff>436645</xdr:colOff>
      <xdr:row>28</xdr:row>
      <xdr:rowOff>19407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D05B88E3-14A6-CBFB-92B2-93C08B838DC8}"/>
                </a:ext>
              </a:extLst>
            </xdr14:cNvPr>
            <xdr14:cNvContentPartPr/>
          </xdr14:nvContentPartPr>
          <xdr14:nvPr macro=""/>
          <xdr14:xfrm>
            <a:off x="3461893" y="5091053"/>
            <a:ext cx="26640" cy="446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D05B88E3-14A6-CBFB-92B2-93C08B838DC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452893" y="5082413"/>
              <a:ext cx="4428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482005</xdr:colOff>
      <xdr:row>27</xdr:row>
      <xdr:rowOff>159292</xdr:rowOff>
    </xdr:from>
    <xdr:to>
      <xdr:col>5</xdr:col>
      <xdr:colOff>503815</xdr:colOff>
      <xdr:row>28</xdr:row>
      <xdr:rowOff>16887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0D179EF-2175-3AE4-740E-FA83A777A1AE}"/>
                </a:ext>
              </a:extLst>
            </xdr14:cNvPr>
            <xdr14:cNvContentPartPr/>
          </xdr14:nvContentPartPr>
          <xdr14:nvPr macro=""/>
          <xdr14:xfrm>
            <a:off x="3533893" y="5092853"/>
            <a:ext cx="18000" cy="4032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0D179EF-2175-3AE4-740E-FA83A777A1A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524893" y="5083853"/>
              <a:ext cx="3564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516925</xdr:colOff>
      <xdr:row>27</xdr:row>
      <xdr:rowOff>154972</xdr:rowOff>
    </xdr:from>
    <xdr:to>
      <xdr:col>5</xdr:col>
      <xdr:colOff>551785</xdr:colOff>
      <xdr:row>28</xdr:row>
      <xdr:rowOff>16107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FF7575B6-75FE-1EBE-4DCB-1E07B48CA51B}"/>
                </a:ext>
              </a:extLst>
            </xdr14:cNvPr>
            <xdr14:cNvContentPartPr/>
          </xdr14:nvContentPartPr>
          <xdr14:nvPr macro=""/>
          <xdr14:xfrm>
            <a:off x="3568813" y="5088533"/>
            <a:ext cx="42480" cy="514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FF7575B6-75FE-1EBE-4DCB-1E07B48CA51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560173" y="5079893"/>
              <a:ext cx="6012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129748</xdr:colOff>
      <xdr:row>27</xdr:row>
      <xdr:rowOff>115012</xdr:rowOff>
    </xdr:from>
    <xdr:to>
      <xdr:col>6</xdr:col>
      <xdr:colOff>174028</xdr:colOff>
      <xdr:row>28</xdr:row>
      <xdr:rowOff>15762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E4CEA6A1-54A8-F25C-DC2D-B4EB40E10DE9}"/>
                </a:ext>
              </a:extLst>
            </xdr14:cNvPr>
            <xdr14:cNvContentPartPr/>
          </xdr14:nvContentPartPr>
          <xdr14:nvPr macro=""/>
          <xdr14:xfrm>
            <a:off x="3792013" y="5048573"/>
            <a:ext cx="44280" cy="777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E4CEA6A1-54A8-F25C-DC2D-B4EB40E10DE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783013" y="5039573"/>
              <a:ext cx="6192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135148</xdr:colOff>
      <xdr:row>27</xdr:row>
      <xdr:rowOff>141652</xdr:rowOff>
    </xdr:from>
    <xdr:to>
      <xdr:col>6</xdr:col>
      <xdr:colOff>199078</xdr:colOff>
      <xdr:row>27</xdr:row>
      <xdr:rowOff>149212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38E82324-BB0A-76A5-E7FD-DACC7956A120}"/>
                </a:ext>
              </a:extLst>
            </xdr14:cNvPr>
            <xdr14:cNvContentPartPr/>
          </xdr14:nvContentPartPr>
          <xdr14:nvPr macro=""/>
          <xdr14:xfrm>
            <a:off x="3797413" y="5075213"/>
            <a:ext cx="60120" cy="75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38E82324-BB0A-76A5-E7FD-DACC7956A12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788413" y="5066213"/>
              <a:ext cx="77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217588</xdr:colOff>
      <xdr:row>27</xdr:row>
      <xdr:rowOff>118252</xdr:rowOff>
    </xdr:from>
    <xdr:to>
      <xdr:col>6</xdr:col>
      <xdr:colOff>287128</xdr:colOff>
      <xdr:row>28</xdr:row>
      <xdr:rowOff>11697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02FDA22-EBA5-B998-9A16-CD31184DAB3C}"/>
                </a:ext>
              </a:extLst>
            </xdr14:cNvPr>
            <xdr14:cNvContentPartPr/>
          </xdr14:nvContentPartPr>
          <xdr14:nvPr macro=""/>
          <xdr14:xfrm>
            <a:off x="3879853" y="5051813"/>
            <a:ext cx="61920" cy="723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202FDA22-EBA5-B998-9A16-CD31184DAB3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870853" y="5043173"/>
              <a:ext cx="7956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292468</xdr:colOff>
      <xdr:row>27</xdr:row>
      <xdr:rowOff>155692</xdr:rowOff>
    </xdr:from>
    <xdr:to>
      <xdr:col>6</xdr:col>
      <xdr:colOff>322648</xdr:colOff>
      <xdr:row>28</xdr:row>
      <xdr:rowOff>19467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50F9D932-679B-012D-3D23-6EBA9F2E822F}"/>
                </a:ext>
              </a:extLst>
            </xdr14:cNvPr>
            <xdr14:cNvContentPartPr/>
          </xdr14:nvContentPartPr>
          <xdr14:nvPr macro=""/>
          <xdr14:xfrm>
            <a:off x="3954733" y="5089253"/>
            <a:ext cx="37800" cy="388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50F9D932-679B-012D-3D23-6EBA9F2E822F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945733" y="5080253"/>
              <a:ext cx="55440" cy="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336028</xdr:colOff>
      <xdr:row>27</xdr:row>
      <xdr:rowOff>166492</xdr:rowOff>
    </xdr:from>
    <xdr:to>
      <xdr:col>6</xdr:col>
      <xdr:colOff>364108</xdr:colOff>
      <xdr:row>28</xdr:row>
      <xdr:rowOff>3567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CA8501D9-DDD4-CCBD-42C8-E5652685D19A}"/>
                </a:ext>
              </a:extLst>
            </xdr14:cNvPr>
            <xdr14:cNvContentPartPr/>
          </xdr14:nvContentPartPr>
          <xdr14:nvPr macro=""/>
          <xdr14:xfrm>
            <a:off x="3998293" y="5100053"/>
            <a:ext cx="28080" cy="1980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CA8501D9-DDD4-CCBD-42C8-E5652685D19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989653" y="5091053"/>
              <a:ext cx="457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393268</xdr:colOff>
      <xdr:row>27</xdr:row>
      <xdr:rowOff>143812</xdr:rowOff>
    </xdr:from>
    <xdr:to>
      <xdr:col>6</xdr:col>
      <xdr:colOff>469438</xdr:colOff>
      <xdr:row>28</xdr:row>
      <xdr:rowOff>19827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8EC2C02F-4582-0D90-2B38-F0E77AB4EA21}"/>
                </a:ext>
              </a:extLst>
            </xdr14:cNvPr>
            <xdr14:cNvContentPartPr/>
          </xdr14:nvContentPartPr>
          <xdr14:nvPr macro=""/>
          <xdr14:xfrm>
            <a:off x="4055533" y="5077373"/>
            <a:ext cx="72360" cy="5112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8EC2C02F-4582-0D90-2B38-F0E77AB4EA2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046533" y="5068733"/>
              <a:ext cx="9000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477508</xdr:colOff>
      <xdr:row>27</xdr:row>
      <xdr:rowOff>150292</xdr:rowOff>
    </xdr:from>
    <xdr:to>
      <xdr:col>6</xdr:col>
      <xdr:colOff>558298</xdr:colOff>
      <xdr:row>28</xdr:row>
      <xdr:rowOff>19827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60C32F5B-04DD-CDC6-BAE7-DA624397B69E}"/>
                </a:ext>
              </a:extLst>
            </xdr14:cNvPr>
            <xdr14:cNvContentPartPr/>
          </xdr14:nvContentPartPr>
          <xdr14:nvPr macro=""/>
          <xdr14:xfrm>
            <a:off x="4139773" y="5083853"/>
            <a:ext cx="84600" cy="446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60C32F5B-04DD-CDC6-BAE7-DA624397B69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130773" y="5075213"/>
              <a:ext cx="1022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357085</xdr:colOff>
      <xdr:row>22</xdr:row>
      <xdr:rowOff>135834</xdr:rowOff>
    </xdr:from>
    <xdr:to>
      <xdr:col>6</xdr:col>
      <xdr:colOff>305788</xdr:colOff>
      <xdr:row>23</xdr:row>
      <xdr:rowOff>56430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D62AC24C-14C2-A11B-01E3-83A0105A6D4B}"/>
                </a:ext>
              </a:extLst>
            </xdr14:cNvPr>
            <xdr14:cNvContentPartPr/>
          </xdr14:nvContentPartPr>
          <xdr14:nvPr macro=""/>
          <xdr14:xfrm>
            <a:off x="3408973" y="4155773"/>
            <a:ext cx="559080" cy="10332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D62AC24C-14C2-A11B-01E3-83A0105A6D4B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400327" y="4147133"/>
              <a:ext cx="576731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138743</xdr:colOff>
      <xdr:row>22</xdr:row>
      <xdr:rowOff>118914</xdr:rowOff>
    </xdr:from>
    <xdr:to>
      <xdr:col>5</xdr:col>
      <xdr:colOff>167665</xdr:colOff>
      <xdr:row>23</xdr:row>
      <xdr:rowOff>111150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5D6D5C7D-7881-2BEE-2061-1A1F96AF2E81}"/>
                </a:ext>
              </a:extLst>
            </xdr14:cNvPr>
            <xdr14:cNvContentPartPr/>
          </xdr14:nvContentPartPr>
          <xdr14:nvPr macro=""/>
          <xdr14:xfrm>
            <a:off x="2580253" y="4138853"/>
            <a:ext cx="646920" cy="1749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5D6D5C7D-7881-2BEE-2061-1A1F96AF2E8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571248" y="4130213"/>
              <a:ext cx="66457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605376</xdr:colOff>
      <xdr:row>29</xdr:row>
      <xdr:rowOff>48003</xdr:rowOff>
    </xdr:from>
    <xdr:to>
      <xdr:col>6</xdr:col>
      <xdr:colOff>21161</xdr:colOff>
      <xdr:row>30</xdr:row>
      <xdr:rowOff>25988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CD3D21BD-149E-AAA4-71F5-2CAC80747796}"/>
                </a:ext>
              </a:extLst>
            </xdr14:cNvPr>
            <xdr14:cNvContentPartPr/>
          </xdr14:nvContentPartPr>
          <xdr14:nvPr macro=""/>
          <xdr14:xfrm>
            <a:off x="3046886" y="5347013"/>
            <a:ext cx="628920" cy="16452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CD3D21BD-149E-AAA4-71F5-2CAC8074779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038246" y="5338373"/>
              <a:ext cx="64656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26323</xdr:colOff>
      <xdr:row>29</xdr:row>
      <xdr:rowOff>94151</xdr:rowOff>
    </xdr:from>
    <xdr:to>
      <xdr:col>7</xdr:col>
      <xdr:colOff>76003</xdr:colOff>
      <xdr:row>29</xdr:row>
      <xdr:rowOff>132671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42B5DB28-E9DA-553E-E3A5-52E21A1A6BE3}"/>
                </a:ext>
              </a:extLst>
            </xdr14:cNvPr>
            <xdr14:cNvContentPartPr/>
          </xdr14:nvContentPartPr>
          <xdr14:nvPr macro=""/>
          <xdr14:xfrm>
            <a:off x="4298966" y="5393161"/>
            <a:ext cx="49680" cy="3852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42B5DB28-E9DA-553E-E3A5-52E21A1A6BE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290326" y="5384521"/>
              <a:ext cx="67320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178421</xdr:colOff>
      <xdr:row>29</xdr:row>
      <xdr:rowOff>29351</xdr:rowOff>
    </xdr:from>
    <xdr:to>
      <xdr:col>6</xdr:col>
      <xdr:colOff>498461</xdr:colOff>
      <xdr:row>29</xdr:row>
      <xdr:rowOff>135551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1B694197-4733-A981-7DDF-F22830B4DBC5}"/>
                </a:ext>
              </a:extLst>
            </xdr14:cNvPr>
            <xdr14:cNvContentPartPr/>
          </xdr14:nvContentPartPr>
          <xdr14:nvPr macro=""/>
          <xdr14:xfrm>
            <a:off x="3840686" y="5328361"/>
            <a:ext cx="320040" cy="1062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1B694197-4733-A981-7DDF-F22830B4DBC5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832046" y="5319361"/>
              <a:ext cx="33768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323323</xdr:colOff>
      <xdr:row>29</xdr:row>
      <xdr:rowOff>56711</xdr:rowOff>
    </xdr:from>
    <xdr:to>
      <xdr:col>7</xdr:col>
      <xdr:colOff>438583</xdr:colOff>
      <xdr:row>29</xdr:row>
      <xdr:rowOff>123521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A633171A-B529-D9E2-4382-F76A3156B9F5}"/>
                </a:ext>
              </a:extLst>
            </xdr14:cNvPr>
            <xdr14:cNvContentPartPr/>
          </xdr14:nvContentPartPr>
          <xdr14:nvPr macro=""/>
          <xdr14:xfrm>
            <a:off x="4595966" y="5355721"/>
            <a:ext cx="107640" cy="6300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A633171A-B529-D9E2-4382-F76A3156B9F5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586966" y="5346721"/>
              <a:ext cx="12528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459403</xdr:colOff>
      <xdr:row>29</xdr:row>
      <xdr:rowOff>37991</xdr:rowOff>
    </xdr:from>
    <xdr:to>
      <xdr:col>7</xdr:col>
      <xdr:colOff>543493</xdr:colOff>
      <xdr:row>29</xdr:row>
      <xdr:rowOff>134171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647BE728-B747-59C7-31FD-A5420853E128}"/>
                </a:ext>
              </a:extLst>
            </xdr14:cNvPr>
            <xdr14:cNvContentPartPr/>
          </xdr14:nvContentPartPr>
          <xdr14:nvPr macro=""/>
          <xdr14:xfrm>
            <a:off x="4732046" y="5337001"/>
            <a:ext cx="80280" cy="8856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647BE728-B747-59C7-31FD-A5420853E12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4723046" y="5328361"/>
              <a:ext cx="9792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607723</xdr:colOff>
      <xdr:row>29</xdr:row>
      <xdr:rowOff>116471</xdr:rowOff>
    </xdr:from>
    <xdr:to>
      <xdr:col>8</xdr:col>
      <xdr:colOff>1306</xdr:colOff>
      <xdr:row>29</xdr:row>
      <xdr:rowOff>116831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9B11010A-5E23-8FBB-428C-839CE9422C64}"/>
                </a:ext>
              </a:extLst>
            </xdr14:cNvPr>
            <xdr14:cNvContentPartPr/>
          </xdr14:nvContentPartPr>
          <xdr14:nvPr macro=""/>
          <xdr14:xfrm>
            <a:off x="4880366" y="5415481"/>
            <a:ext cx="3960" cy="3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9B11010A-5E23-8FBB-428C-839CE9422C64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871726" y="5406841"/>
              <a:ext cx="21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45586</xdr:colOff>
      <xdr:row>29</xdr:row>
      <xdr:rowOff>53831</xdr:rowOff>
    </xdr:from>
    <xdr:to>
      <xdr:col>8</xdr:col>
      <xdr:colOff>93766</xdr:colOff>
      <xdr:row>29</xdr:row>
      <xdr:rowOff>94151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D03FC8D9-D0C1-A642-C1FB-83CB65BE880F}"/>
                </a:ext>
              </a:extLst>
            </xdr14:cNvPr>
            <xdr14:cNvContentPartPr/>
          </xdr14:nvContentPartPr>
          <xdr14:nvPr macro=""/>
          <xdr14:xfrm>
            <a:off x="4928606" y="5352841"/>
            <a:ext cx="55800" cy="403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D03FC8D9-D0C1-A642-C1FB-83CB65BE880F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4919966" y="5344201"/>
              <a:ext cx="7344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90226</xdr:colOff>
      <xdr:row>29</xdr:row>
      <xdr:rowOff>89831</xdr:rowOff>
    </xdr:from>
    <xdr:to>
      <xdr:col>8</xdr:col>
      <xdr:colOff>129766</xdr:colOff>
      <xdr:row>29</xdr:row>
      <xdr:rowOff>142541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9B063033-6C0B-D2E4-79A3-09C51A381BAA}"/>
                </a:ext>
              </a:extLst>
            </xdr14:cNvPr>
            <xdr14:cNvContentPartPr/>
          </xdr14:nvContentPartPr>
          <xdr14:nvPr macro=""/>
          <xdr14:xfrm>
            <a:off x="4973246" y="5388841"/>
            <a:ext cx="47160" cy="5652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9B063033-6C0B-D2E4-79A3-09C51A381BAA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964246" y="5380201"/>
              <a:ext cx="6480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158986</xdr:colOff>
      <xdr:row>29</xdr:row>
      <xdr:rowOff>67511</xdr:rowOff>
    </xdr:from>
    <xdr:to>
      <xdr:col>8</xdr:col>
      <xdr:colOff>225946</xdr:colOff>
      <xdr:row>29</xdr:row>
      <xdr:rowOff>129731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9174B89D-9D37-9B8D-03F1-B46D47754716}"/>
                </a:ext>
              </a:extLst>
            </xdr14:cNvPr>
            <xdr14:cNvContentPartPr/>
          </xdr14:nvContentPartPr>
          <xdr14:nvPr macro=""/>
          <xdr14:xfrm>
            <a:off x="5042006" y="5366521"/>
            <a:ext cx="66960" cy="6984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9174B89D-9D37-9B8D-03F1-B46D47754716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5033006" y="5357881"/>
              <a:ext cx="8460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380386</xdr:colOff>
      <xdr:row>29</xdr:row>
      <xdr:rowOff>40151</xdr:rowOff>
    </xdr:from>
    <xdr:to>
      <xdr:col>8</xdr:col>
      <xdr:colOff>599776</xdr:colOff>
      <xdr:row>29</xdr:row>
      <xdr:rowOff>149591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0114DEFB-1B64-8902-6061-560E94DEF854}"/>
                </a:ext>
              </a:extLst>
            </xdr14:cNvPr>
            <xdr14:cNvContentPartPr/>
          </xdr14:nvContentPartPr>
          <xdr14:nvPr macro=""/>
          <xdr14:xfrm>
            <a:off x="5263406" y="5339161"/>
            <a:ext cx="223200" cy="1094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0114DEFB-1B64-8902-6061-560E94DEF85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5254420" y="5330161"/>
              <a:ext cx="240812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391189</xdr:colOff>
      <xdr:row>30</xdr:row>
      <xdr:rowOff>141203</xdr:rowOff>
    </xdr:from>
    <xdr:to>
      <xdr:col>6</xdr:col>
      <xdr:colOff>427614</xdr:colOff>
      <xdr:row>31</xdr:row>
      <xdr:rowOff>92188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F7795DA0-3B20-DDB4-0040-B7986850E1C5}"/>
                </a:ext>
              </a:extLst>
            </xdr14:cNvPr>
            <xdr14:cNvContentPartPr/>
          </xdr14:nvContentPartPr>
          <xdr14:nvPr macro=""/>
          <xdr14:xfrm>
            <a:off x="3448315" y="5616652"/>
            <a:ext cx="644040" cy="14112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F7795DA0-3B20-DDB4-0040-B7986850E1C5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3439670" y="5607675"/>
              <a:ext cx="661690" cy="1587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271800</xdr:colOff>
      <xdr:row>31</xdr:row>
      <xdr:rowOff>92160</xdr:rowOff>
    </xdr:from>
    <xdr:to>
      <xdr:col>7</xdr:col>
      <xdr:colOff>512940</xdr:colOff>
      <xdr:row>32</xdr:row>
      <xdr:rowOff>8370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0865640-F621-4232-ACDA-82DE5F0C818D}"/>
                </a:ext>
              </a:extLst>
            </xdr14:cNvPr>
            <xdr14:cNvContentPartPr/>
          </xdr14:nvContentPartPr>
          <xdr14:nvPr macro=""/>
          <xdr14:xfrm>
            <a:off x="4534800" y="5765160"/>
            <a:ext cx="248760" cy="9540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0865640-F621-4232-ACDA-82DE5F0C818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4526147" y="5756194"/>
              <a:ext cx="266426" cy="1129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585600</xdr:colOff>
      <xdr:row>31</xdr:row>
      <xdr:rowOff>139320</xdr:rowOff>
    </xdr:from>
    <xdr:to>
      <xdr:col>7</xdr:col>
      <xdr:colOff>58320</xdr:colOff>
      <xdr:row>31</xdr:row>
      <xdr:rowOff>170640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F8A92F6E-5010-F019-A70F-0891F192B760}"/>
                </a:ext>
              </a:extLst>
            </xdr14:cNvPr>
            <xdr14:cNvContentPartPr/>
          </xdr14:nvContentPartPr>
          <xdr14:nvPr macro=""/>
          <xdr14:xfrm>
            <a:off x="4239600" y="5812320"/>
            <a:ext cx="81720" cy="3132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F8A92F6E-5010-F019-A70F-0891F192B760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4230600" y="5803320"/>
              <a:ext cx="99360" cy="4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592680</xdr:colOff>
      <xdr:row>31</xdr:row>
      <xdr:rowOff>172080</xdr:rowOff>
    </xdr:from>
    <xdr:to>
      <xdr:col>6</xdr:col>
      <xdr:colOff>353970</xdr:colOff>
      <xdr:row>32</xdr:row>
      <xdr:rowOff>79080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B74A4A41-CDE0-78DA-ADC6-61BC670A9F0F}"/>
                </a:ext>
              </a:extLst>
            </xdr14:cNvPr>
            <xdr14:cNvContentPartPr/>
          </xdr14:nvContentPartPr>
          <xdr14:nvPr macro=""/>
          <xdr14:xfrm>
            <a:off x="3637680" y="5845080"/>
            <a:ext cx="366480" cy="9000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B74A4A41-CDE0-78DA-ADC6-61BC670A9F0F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3628680" y="5836440"/>
              <a:ext cx="38412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242040</xdr:colOff>
      <xdr:row>34</xdr:row>
      <xdr:rowOff>65520</xdr:rowOff>
    </xdr:from>
    <xdr:to>
      <xdr:col>7</xdr:col>
      <xdr:colOff>268200</xdr:colOff>
      <xdr:row>35</xdr:row>
      <xdr:rowOff>60420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0A8C245E-9C95-5BF8-480E-1C8911410839}"/>
                </a:ext>
              </a:extLst>
            </xdr14:cNvPr>
            <xdr14:cNvContentPartPr/>
          </xdr14:nvContentPartPr>
          <xdr14:nvPr macro=""/>
          <xdr14:xfrm>
            <a:off x="3287040" y="6287520"/>
            <a:ext cx="1244160" cy="17028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0A8C245E-9C95-5BF8-480E-1C8911410839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3278043" y="6278880"/>
              <a:ext cx="1261795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506160</xdr:colOff>
      <xdr:row>34</xdr:row>
      <xdr:rowOff>79920</xdr:rowOff>
    </xdr:from>
    <xdr:to>
      <xdr:col>8</xdr:col>
      <xdr:colOff>363420</xdr:colOff>
      <xdr:row>34</xdr:row>
      <xdr:rowOff>171360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47E31DF8-8EA9-7FA4-1539-6D973F921DA1}"/>
                </a:ext>
              </a:extLst>
            </xdr14:cNvPr>
            <xdr14:cNvContentPartPr/>
          </xdr14:nvContentPartPr>
          <xdr14:nvPr macro=""/>
          <xdr14:xfrm>
            <a:off x="4769160" y="6301920"/>
            <a:ext cx="458640" cy="9144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47E31DF8-8EA9-7FA4-1539-6D973F921DA1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4760160" y="6293280"/>
              <a:ext cx="47628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504480</xdr:colOff>
      <xdr:row>34</xdr:row>
      <xdr:rowOff>89640</xdr:rowOff>
    </xdr:from>
    <xdr:to>
      <xdr:col>8</xdr:col>
      <xdr:colOff>598230</xdr:colOff>
      <xdr:row>35</xdr:row>
      <xdr:rowOff>11250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9A62920A-9B71-82CA-83E2-D54A5CC0421F}"/>
                </a:ext>
              </a:extLst>
            </xdr14:cNvPr>
            <xdr14:cNvContentPartPr/>
          </xdr14:nvContentPartPr>
          <xdr14:nvPr macro=""/>
          <xdr14:xfrm>
            <a:off x="5376480" y="6311640"/>
            <a:ext cx="97560" cy="10080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9A62920A-9B71-82CA-83E2-D54A5CC0421F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5367872" y="6302640"/>
              <a:ext cx="115135" cy="118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604732</xdr:colOff>
      <xdr:row>4</xdr:row>
      <xdr:rowOff>112512</xdr:rowOff>
    </xdr:from>
    <xdr:to>
      <xdr:col>42</xdr:col>
      <xdr:colOff>207752</xdr:colOff>
      <xdr:row>17</xdr:row>
      <xdr:rowOff>58443</xdr:rowOff>
    </xdr:to>
    <xdr:pic>
      <xdr:nvPicPr>
        <xdr:cNvPr id="48" name="Picture 47" descr="Cantilever Beam Shear And Moment Diagrams">
          <a:extLst>
            <a:ext uri="{FF2B5EF4-FFF2-40B4-BE49-F238E27FC236}">
              <a16:creationId xmlns:a16="http://schemas.microsoft.com/office/drawing/2014/main" id="{DAD3C15C-21D0-D760-004F-810CEF1B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59932" y="829688"/>
          <a:ext cx="2647210" cy="2272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437786</xdr:colOff>
      <xdr:row>2</xdr:row>
      <xdr:rowOff>131074</xdr:rowOff>
    </xdr:from>
    <xdr:to>
      <xdr:col>25</xdr:col>
      <xdr:colOff>555896</xdr:colOff>
      <xdr:row>23</xdr:row>
      <xdr:rowOff>63189</xdr:rowOff>
    </xdr:to>
    <xdr:pic>
      <xdr:nvPicPr>
        <xdr:cNvPr id="6" name="Picture 5" descr="Shear And Moment Diagrams For Trusses">
          <a:extLst>
            <a:ext uri="{FF2B5EF4-FFF2-40B4-BE49-F238E27FC236}">
              <a16:creationId xmlns:a16="http://schemas.microsoft.com/office/drawing/2014/main" id="{1FFA27F1-B273-14EC-F9BB-275997ED3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2513" y="487334"/>
          <a:ext cx="2568534" cy="3674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373380</xdr:colOff>
      <xdr:row>4</xdr:row>
      <xdr:rowOff>88650</xdr:rowOff>
    </xdr:from>
    <xdr:to>
      <xdr:col>11</xdr:col>
      <xdr:colOff>574208</xdr:colOff>
      <xdr:row>9</xdr:row>
      <xdr:rowOff>125214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566853-8F17-1623-3D19-7695495B5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0180" y="820170"/>
          <a:ext cx="2029628" cy="949059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19</xdr:row>
      <xdr:rowOff>45720</xdr:rowOff>
    </xdr:from>
    <xdr:to>
      <xdr:col>16</xdr:col>
      <xdr:colOff>314870</xdr:colOff>
      <xdr:row>41</xdr:row>
      <xdr:rowOff>104681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CD7FD56-3320-BBB1-47B0-E0015029819A}"/>
                </a:ext>
              </a:extLst>
            </xdr14:cNvPr>
            <xdr14:cNvContentPartPr/>
          </xdr14:nvContentPartPr>
          <xdr14:nvPr macro=""/>
          <xdr14:xfrm>
            <a:off x="4519955" y="3546936"/>
            <a:ext cx="5516640" cy="4113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CD7FD56-3320-BBB1-47B0-E0015029819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511026" y="3537979"/>
              <a:ext cx="5534141" cy="4130555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281940</xdr:colOff>
      <xdr:row>6</xdr:row>
      <xdr:rowOff>53340</xdr:rowOff>
    </xdr:from>
    <xdr:to>
      <xdr:col>12</xdr:col>
      <xdr:colOff>153180</xdr:colOff>
      <xdr:row>13</xdr:row>
      <xdr:rowOff>21300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2D1B0AF-1A1F-5E60-A27B-154386598C30}"/>
                </a:ext>
              </a:extLst>
            </xdr14:cNvPr>
            <xdr14:cNvContentPartPr/>
          </xdr14:nvContentPartPr>
          <xdr14:nvPr macro=""/>
          <xdr14:xfrm>
            <a:off x="4549140" y="1150620"/>
            <a:ext cx="2919240" cy="1248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2D1B0AF-1A1F-5E60-A27B-154386598C3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540140" y="1141620"/>
              <a:ext cx="2936880" cy="1265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21</xdr:col>
      <xdr:colOff>423333</xdr:colOff>
      <xdr:row>6</xdr:row>
      <xdr:rowOff>59266</xdr:rowOff>
    </xdr:from>
    <xdr:to>
      <xdr:col>25</xdr:col>
      <xdr:colOff>452407</xdr:colOff>
      <xdr:row>19</xdr:row>
      <xdr:rowOff>77436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896DAB5-BFF4-F29F-E204-980F684B4FD0}"/>
                </a:ext>
              </a:extLst>
            </xdr14:cNvPr>
            <xdr14:cNvContentPartPr/>
          </xdr14:nvContentPartPr>
          <xdr14:nvPr macro=""/>
          <xdr14:xfrm>
            <a:off x="13224933" y="1176866"/>
            <a:ext cx="2467474" cy="2439637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896DAB5-BFF4-F29F-E204-980F684B4FD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215975" y="1167813"/>
              <a:ext cx="2485032" cy="2457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312350</xdr:colOff>
      <xdr:row>41</xdr:row>
      <xdr:rowOff>55448</xdr:rowOff>
    </xdr:from>
    <xdr:to>
      <xdr:col>11</xdr:col>
      <xdr:colOff>398960</xdr:colOff>
      <xdr:row>41</xdr:row>
      <xdr:rowOff>112328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CD4A202-C19E-CCD5-2D64-F5F53B8407DF}"/>
                </a:ext>
              </a:extLst>
            </xdr14:cNvPr>
            <xdr14:cNvContentPartPr/>
          </xdr14:nvContentPartPr>
          <xdr14:nvPr macro=""/>
          <xdr14:xfrm>
            <a:off x="7002915" y="7620775"/>
            <a:ext cx="82800" cy="56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CD4A202-C19E-CCD5-2D64-F5F53B8407D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993915" y="7611775"/>
              <a:ext cx="10044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278150</xdr:colOff>
      <xdr:row>40</xdr:row>
      <xdr:rowOff>39088</xdr:rowOff>
    </xdr:from>
    <xdr:to>
      <xdr:col>11</xdr:col>
      <xdr:colOff>542135</xdr:colOff>
      <xdr:row>41</xdr:row>
      <xdr:rowOff>1130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8AD5380-760E-B79A-4AE1-C96E8FCC7F09}"/>
                </a:ext>
              </a:extLst>
            </xdr14:cNvPr>
            <xdr14:cNvContentPartPr/>
          </xdr14:nvContentPartPr>
          <xdr14:nvPr macro=""/>
          <xdr14:xfrm>
            <a:off x="6968715" y="7419895"/>
            <a:ext cx="262080" cy="1418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8AD5380-760E-B79A-4AE1-C96E8FCC7F0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959715" y="7411255"/>
              <a:ext cx="27972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124213</xdr:colOff>
      <xdr:row>20</xdr:row>
      <xdr:rowOff>27831</xdr:rowOff>
    </xdr:from>
    <xdr:to>
      <xdr:col>18</xdr:col>
      <xdr:colOff>363463</xdr:colOff>
      <xdr:row>20</xdr:row>
      <xdr:rowOff>170241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6081F37E-CFF2-2E4A-FE52-C4A4166AC9F1}"/>
                </a:ext>
              </a:extLst>
            </xdr14:cNvPr>
            <xdr14:cNvContentPartPr/>
          </xdr14:nvContentPartPr>
          <xdr14:nvPr macro=""/>
          <xdr14:xfrm>
            <a:off x="11137060" y="3698780"/>
            <a:ext cx="235440" cy="1386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6081F37E-CFF2-2E4A-FE52-C4A4166AC9F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128060" y="3690140"/>
              <a:ext cx="25308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110173</xdr:colOff>
      <xdr:row>21</xdr:row>
      <xdr:rowOff>45884</xdr:rowOff>
    </xdr:from>
    <xdr:to>
      <xdr:col>18</xdr:col>
      <xdr:colOff>399463</xdr:colOff>
      <xdr:row>21</xdr:row>
      <xdr:rowOff>59054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52D571F-8D11-78C5-5E47-6BB6B424E597}"/>
                </a:ext>
              </a:extLst>
            </xdr14:cNvPr>
            <xdr14:cNvContentPartPr/>
          </xdr14:nvContentPartPr>
          <xdr14:nvPr macro=""/>
          <xdr14:xfrm>
            <a:off x="11123020" y="3900380"/>
            <a:ext cx="285480" cy="9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52D571F-8D11-78C5-5E47-6BB6B424E59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114380" y="3891380"/>
              <a:ext cx="30312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136473</xdr:colOff>
      <xdr:row>21</xdr:row>
      <xdr:rowOff>148909</xdr:rowOff>
    </xdr:from>
    <xdr:to>
      <xdr:col>18</xdr:col>
      <xdr:colOff>387498</xdr:colOff>
      <xdr:row>23</xdr:row>
      <xdr:rowOff>22144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D2DFB79-E7BE-7118-B8CD-F5898C2716F5}"/>
                </a:ext>
              </a:extLst>
            </xdr14:cNvPr>
            <xdr14:cNvContentPartPr/>
          </xdr14:nvContentPartPr>
          <xdr14:nvPr macro=""/>
          <xdr14:xfrm>
            <a:off x="11149320" y="4003405"/>
            <a:ext cx="249120" cy="2365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D2DFB79-E7BE-7118-B8CD-F5898C2716F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140680" y="3994752"/>
              <a:ext cx="266760" cy="254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18568</xdr:colOff>
      <xdr:row>20</xdr:row>
      <xdr:rowOff>99176</xdr:rowOff>
    </xdr:from>
    <xdr:to>
      <xdr:col>19</xdr:col>
      <xdr:colOff>283678</xdr:colOff>
      <xdr:row>21</xdr:row>
      <xdr:rowOff>79429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3B69CDE-9BFD-D432-ECB8-9501B3BDF89C}"/>
                </a:ext>
              </a:extLst>
            </xdr14:cNvPr>
            <xdr14:cNvContentPartPr/>
          </xdr14:nvContentPartPr>
          <xdr14:nvPr macro=""/>
          <xdr14:xfrm>
            <a:off x="11643240" y="3770125"/>
            <a:ext cx="268920" cy="1638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3B69CDE-9BFD-D432-ECB8-9501B3BDF89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634252" y="3761125"/>
              <a:ext cx="286536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38</xdr:col>
      <xdr:colOff>231975</xdr:colOff>
      <xdr:row>12</xdr:row>
      <xdr:rowOff>28607</xdr:rowOff>
    </xdr:from>
    <xdr:to>
      <xdr:col>41</xdr:col>
      <xdr:colOff>539872</xdr:colOff>
      <xdr:row>19</xdr:row>
      <xdr:rowOff>36862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A09B2EC-1016-834F-76AD-16B9A21EA280}"/>
                </a:ext>
              </a:extLst>
            </xdr14:cNvPr>
            <xdr14:cNvContentPartPr/>
          </xdr14:nvContentPartPr>
          <xdr14:nvPr macro=""/>
          <xdr14:xfrm>
            <a:off x="23396775" y="2180136"/>
            <a:ext cx="2136697" cy="1263314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A09B2EC-1016-834F-76AD-16B9A21EA28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3387812" y="2171421"/>
              <a:ext cx="2154264" cy="128039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12</xdr:col>
      <xdr:colOff>401640</xdr:colOff>
      <xdr:row>9</xdr:row>
      <xdr:rowOff>132840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3DA772C-FD57-65CE-83C7-CA99F2E83E16}"/>
                </a:ext>
              </a:extLst>
            </xdr14:cNvPr>
            <xdr14:cNvContentPartPr/>
          </xdr14:nvContentPartPr>
          <xdr14:nvPr macro=""/>
          <xdr14:xfrm>
            <a:off x="4876800" y="914400"/>
            <a:ext cx="2840040" cy="864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3DA772C-FD57-65CE-83C7-CA99F2E83E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67800" y="905400"/>
              <a:ext cx="2857680" cy="882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38100</xdr:colOff>
      <xdr:row>15</xdr:row>
      <xdr:rowOff>99060</xdr:rowOff>
    </xdr:from>
    <xdr:to>
      <xdr:col>12</xdr:col>
      <xdr:colOff>80460</xdr:colOff>
      <xdr:row>17</xdr:row>
      <xdr:rowOff>122460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B3D3DA1-7F20-1963-1990-B39E026908C7}"/>
                </a:ext>
              </a:extLst>
            </xdr14:cNvPr>
            <xdr14:cNvContentPartPr/>
          </xdr14:nvContentPartPr>
          <xdr14:nvPr macro=""/>
          <xdr14:xfrm>
            <a:off x="4914900" y="2842260"/>
            <a:ext cx="2480760" cy="389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B3D3DA1-7F20-1963-1990-B39E026908C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905900" y="2833260"/>
              <a:ext cx="2498400" cy="40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442784</xdr:colOff>
      <xdr:row>25</xdr:row>
      <xdr:rowOff>112088</xdr:rowOff>
    </xdr:from>
    <xdr:to>
      <xdr:col>13</xdr:col>
      <xdr:colOff>505711</xdr:colOff>
      <xdr:row>38</xdr:row>
      <xdr:rowOff>38034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9DADC9-C997-7F1B-01FB-BA96D961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7865" y="4745872"/>
          <a:ext cx="6743968" cy="233551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0:23:40.562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5066 24058,'4017'0,"-4017"2109,-4017-2109,4017-2109</inkml:trace>
  <inkml:trace contextRef="#ctx0" brushRef="#br0">4826 23825,'4537'0,"-4537"2611,-4537-2611,4537-2611</inkml:trace>
  <inkml:trace contextRef="#ctx0" brushRef="#br1">4207 23619,'0'0,"0"13,0 2,0 1,-2 3,-4 2,4 1,2 1,-4-5,4-1,-4-5,4-4,0-2,0-8,4-13,0-1,-2-5,4-1,-4-8,2 5,-4-1,0-1,6 1,-6 5,0-2,2 3,-2 9,4 1,-4 4,4 4,-2 2,4 0,-2 2,4 14,-3-1,3 6,8 5,-5-4,5 8,-2-3,8 3,-9-5,3-3,-4-1,0-5,-6-3,0-4,-6-3</inkml:trace>
  <inkml:trace contextRef="#ctx0" brushRef="#br1">4229 23755,'0'0,"58"-28,-36 24,2 3</inkml:trace>
  <inkml:trace contextRef="#ctx0" brushRef="#br1">9664 23593,'0'0,"19"54,-11-38,0-1,-6 4,3-7,7 6,-4-7,-4-1</inkml:trace>
  <inkml:trace contextRef="#ctx0" brushRef="#br1">9664 23591,'0'0,"54"-11,-40 11,2 0,-4 0,0 0,-4 0,0 6,-8-1,0 1,0 1,-4 5,-6-3,4-2,-6-1,8 0,0-3,0-3,8 0,8 0,0 0,0 7,0-1,2-1,-4 6,4 2,-6 0,-6 0,4-1,-6 0,0-1,-8 0,0-4,-6-3,4 0,-4-4,-2 0,4 0,0 0,4 0,4 0</inkml:trace>
  <inkml:trace contextRef="#ctx0" brushRef="#br1">4406 26713,'0'0,"-14"-28,10 22,-4 6,0-4,0 4,-4 0,2 0,1 5,-5 5,2 4,-2-3,1 8,5 0,2 0,-2 1,8 1,0-6,2 3,14-5,5-5,1-4,5-4,-1 0,0-4,6-7,-5 1,-11 0</inkml:trace>
  <inkml:trace contextRef="#ctx0" brushRef="#br1">9480 26665,'0'0,"4"55,0-39,0 1,-2 2,4-1,2 1,-2-5,-2-5</inkml:trace>
  <inkml:trace contextRef="#ctx0" brushRef="#br1">9462 26665,'0'0,"68"-3,-49 10,-1 4,-2 6,0-6,-4 9,-2-6,-2 9,-8-3,0-4,0-1,0 1,-8-4,-6-3,-4-3,6 0,-8-4,3-2,7 0,-2 0,2 0</inkml:trace>
  <inkml:trace contextRef="#ctx0" brushRef="#br1">3977 24359,'0'1637</inkml:trace>
  <inkml:trace contextRef="#ctx0" brushRef="#br1">3935 24427,'0'0,"-25"51,21-43,4-4,-4 0,4-2,4-10,6 0,-8-3,2-2,0 1,4-3,-7-2,3-1,0 0,0-1,-4 0,4 6,-2 1,2 5,-4 1,0 1,6 2,-5 3,4 3,-3 8,-2-2,8 3,-2 5,-2-2,2 4,2-5,-4 3,6-3,-2 0,3 3,1-2,-6-2</inkml:trace>
  <inkml:trace contextRef="#ctx0" brushRef="#br1">3906 25960,'0'0,"41"63,-31-43,4-5,-8 2,2-1,-2-7,-2 0,0-7,-4 2,4-4,-4-13,0 6,0-5,0-4,4 7,-4 0,4-1,0 3,6 0,-5 1,9 3</inkml:trace>
  <inkml:trace contextRef="#ctx0" brushRef="#br1">3250 25061,'0'0,"4"28,-2-11,6 3,-2 4,2 0,0 1,4-1,-2-7,-6 3,4-6,-2 1,-6-3,7-4,-7-2,4-2,-4-10,0 0,0-2,0-2,0 1,-4-1,4 2,0-6,0 3,0-3,0 6,0-2,0 4,0 2,4 0,0 4,0 0,2 0,0 6,2 2,2 2,-2 0,0 2,-1-1,6-2,-5 0,-2-3,2 2,-4 1,4-9,-4 4,0-2</inkml:trace>
  <inkml:trace contextRef="#ctx0" brushRef="#br1">5366 23473,'3426'0</inkml:trace>
  <inkml:trace contextRef="#ctx0" brushRef="#br1">8737 23394,'0'0,"13"13,-1-7,0-4,-2 4,4 0,0 2,-5-2,1 3,-2 3,0-5,-8 3,4-1,-4 0,0-4,0 1,-4-3,2-3,-6 0,0 0,0 0,1 0,1 0,-4 0,4 5,4 1,-6-6</inkml:trace>
  <inkml:trace contextRef="#ctx0" brushRef="#br1">5376 23421,'0'0,"2"0,-2 2,0 6,0-4,-2 5,-8-1,2 2,4-1,-4-1,0 3,0-3,0-2,4 1,0-7,0 5,4-3,-4-2,8 0,0 0,4 0,-4 0,4 0,4 0,-4 0,0 2,8-2,-6 2,6 0,-4 1,6-1,-4 4,-4-4,0 4</inkml:trace>
  <inkml:trace contextRef="#ctx0" brushRef="#br1">6665 23194,'0'0,"8"2,-4 8,-4 1,0 1,4 4,0-3,-2-2,8 3,-8-5,4-1,2-2,0-3,0-3,0 0,0-3,0-5,-8-3,8 2,-6 0,2 0,-4 1,0 2,0 5,2 4,4 1,4 4,-4-5,4 3,6 1,-3-5,5 3,2-5,-6 0,2 0,-4 0,-2-3,-2-6,-4 1,-4-1,0 1,0-2,-4 1,-4 1,-2 0,-2-1,-4 3,-2 2,2 0,4 4</inkml:trace>
  <inkml:trace contextRef="#ctx0" brushRef="#br1">8579 24791,'429'0</inkml:trace>
  <inkml:trace contextRef="#ctx0" brushRef="#br1">8934 24679,'0'0,"0"8,6-3,-4 3,6-2,0 2,4 3,-6-4,2 3,4-2,-4-2,-4 3,-2-4,5 2,-3-3,2 2,-6-2,2-2,-2-1,0 2,0-1,0 1,0-3,0 2,0 3,-2-3,-4-2,6 4,-4-2,0 2,1-1,1-3,-2 6,-4-2,2 0,-2 0,2 3,0-5,6 1</inkml:trace>
  <inkml:trace contextRef="#ctx0" brushRef="#br1">9460 24777,'628'0</inkml:trace>
  <inkml:trace contextRef="#ctx0" brushRef="#br1">9512 24694,'0'0,"0"0,-4 8,-4 0,0 0,-4 4,-2-3,0 2,-2 1,-2-2,3-1,7-3,-6 1,12-6,0 1,2 0,4-2,3 0,-2 0,-1 2,2 6,4-8,-3 8,1-1,4 3,0-2,-2 1,-2 0,2-1,2 0,-2-1,4-1,0 0,-4-2,5-2</inkml:trace>
  <inkml:trace contextRef="#ctx0" brushRef="#br1">9989 25024,'0'0,"4"46,-4-23,0-2,0 3,0-4,0-1,0-1,0-8,0 5,4-6,2-1,2-5,3-3,3 0,-4 0,4-3,0-3,-4-2,0 2,-4-1</inkml:trace>
  <inkml:trace contextRef="#ctx0" brushRef="#br1">9959 25145,'0'0,"38"-11,-28 7,2 2,9-4,-1 3,-2-6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0:27:02.858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7" units="cm"/>
      <inkml:brushProperty name="height" value="0.5" units="cm"/>
      <inkml:brushProperty name="color" value="#FFFC00"/>
      <inkml:brushProperty name="transparency" value="127"/>
      <inkml:brushProperty name="tip" value="rectangle"/>
      <inkml:brushProperty name="ignorePressure" value="1"/>
    </inkml:brush>
    <inkml:brush xml:id="br2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4828 28136,'0'0,"0"58,0-39,0 5,0-4,0 2,0-4,0 1,0-7,0-3,0-5,2-4,2-5,-4-5,0-6,0 3,0-5,0 2,0-5,0 0,0-2,0-1,0-1,0 8,0-6,0 9,0 0,0 4,0 5,0 1,0 2,4 8,4 3,0 3,4 8,0 1,5 4,-5 0,8 3,0-1,-2-3,0-2,4 9,-10-7,0-11</inkml:trace>
  <inkml:trace contextRef="#ctx0" brushRef="#br0">4846 28269,'0'0,"59"-21,-45 21</inkml:trace>
  <inkml:trace contextRef="#ctx0" brushRef="#br0">5079 28240,'0'0,"26"62,-18-54,-2-4,-2 0,-4 0,4-4,-4-4,-4-4,-6 4,2-5,6-1,-8 2,6-2,2-2,-4 3,6-2,0 6,0-6,0 5,0 4,6-2,-4 1,6 3,6 0,-2 0,0 0</inkml:trace>
  <inkml:trace contextRef="#ctx0" brushRef="#br0">5218 28279,'0'0,"41"-16,-39 14,8-2,-6-1,0 1,0 2,-4-4,0 4,0-3,0 1,0 2,-4 0,-4 0,4 2,-4 0,2 0,3 0,-3 2,2 2,-2 2,2-1,0 3,4 1,0 3,0-2,0-2,8 2,2-1,-1 1,9-4,2-2,0-2,-4-2</inkml:trace>
  <inkml:trace contextRef="#ctx0" brushRef="#br0">5438 28257,'0'0,"-34"-9,28 9,4 0,-8 2,6 5,0 2,0-3,2 1,2 5,0-1,0-1,0-2,6 0,6-2,-4-6,4 0,0 0,2 0,-8-6,2-4,-4-2,0 5,0-1,-4 2,0 0,0 3,0-1,0 3,4 1,0 1,0 6,6-1,-4-2,6 0,2 2,-4-6,15 3,-3-3,-6 0</inkml:trace>
  <inkml:trace contextRef="#ctx0" brushRef="#br0">5905 28357,'0'0,"26"62,-34-37,-6-3,4-7</inkml:trace>
  <inkml:trace contextRef="#ctx0" brushRef="#br0">6226 28160,'0'0,"-16"49,16-25,0-9,0 3,0-5,0 1,0-5,0-5,0 0,0-8,0-5,0-1,0-8,0 1,0 0,0-3,4-1,-4 1,2 4,4 2,-6 4,4 2,0-2,0 4,0 1,0 5,0-4,2 4,-4 0,1 0,5 6,0 5,2 5,4-4,0 13,0-9,4 6,-8-2,6-1,0 2,4-1,-8-3,2-5</inkml:trace>
  <inkml:trace contextRef="#ctx0" brushRef="#br0">6234 28252,'0'0,"59"-12,-27 9,-4-1,2 4</inkml:trace>
  <inkml:trace contextRef="#ctx0" brushRef="#br0">6127 29391,'0'0,"0"60,0-48,0-1,0-3,0-4,0-8,0-4,0-1,0-5,0 1,0-5,0 1,0-5,0 0,0 0,0-4,0-3,0 2,0 2,0 7,0 1,0 7,0 5,4 5,0 0,4 7,4 4,0 8,0-2,7 8,-5 0,6 3,-2 3,-5 0,5-5,-6 0,4-1,-4-2,-10-7</inkml:trace>
  <inkml:trace contextRef="#ctx0" brushRef="#br0">6135 29387,'0'0,"28"-4,-16 4,4 0,1 0,-1 0</inkml:trace>
  <inkml:trace contextRef="#ctx0" brushRef="#br0">6465 29312,'0'0,"67"-10,-55 8,-2 2</inkml:trace>
  <inkml:trace contextRef="#ctx0" brushRef="#br0">6515 29383,'0'0,"56"0,-40-2</inkml:trace>
  <inkml:trace contextRef="#ctx0" brushRef="#br0">7231 29092,'0'0,"4"-4,-8 10,2 3,-8-2,2 6,-4 3,4 3,1 3,-1 7,-1 5,9 11,0 1,9-6,2-4,1-8,-4-7,2-4,2 1,10 4,-2-1,-2-6</inkml:trace>
  <inkml:trace contextRef="#ctx0" brushRef="#br0">7357 29277,'0'0,"6"34,-2-19,-2 0,4-6,0 5,0-4,0-1,0-1,2-6,0 0,-4-2,2-2,-2-2,4-4,-8-1,2-1,-2 0,0 1,0 1,0 3,0 3,0 0,0 4,0 2,6 1,-4 1,10 1,-2-3,0 4,2-2,2-4,0 2,0-4,0 0,2 0,-4-4,-2-2,0-1,-2 0,-4 3,0-1,-4-2,0 1,-4-2,-2 0,-4 4,4-4,0 0,-4 4,0-4,4 8,0 0,2 0</inkml:trace>
  <inkml:trace contextRef="#ctx0" brushRef="#br0">7779 29284,'0'0,"32"26,-22-18,5 2,-3-1,0 0,2-1,0 2,-6-4</inkml:trace>
  <inkml:trace contextRef="#ctx0" brushRef="#br0">7868 29273,'0'0,"-24"41,20-23,-2 0,1 2,1-7</inkml:trace>
  <inkml:trace contextRef="#ctx0" brushRef="#br0">8047 29174,'0'0,"0"2,0 2,2 5,2 0,0 5,-2 0,2 2,4 1,-6-1,4 1,0 1,-2-2,2-1,-2-4,0 1,-2-4,4-3,-6-5,0 2,0-2,0-5,0 1,0-2,0-2,0 0,0 1,-6-2,6 1,0-4,0 8,0-4,0 0,0 4,6-2,-6 4,3 0,1 1,0-1,0 2,4 0,-8 2,8 1,-2 5,2 0,-1 0,3 0,-6 6,2-5,0-1,0 1,-4 1,0-2,-2-1,0 1,4 0</inkml:trace>
  <inkml:trace contextRef="#ctx0" brushRef="#br0">8271 29103,'0'0,"16"13,-4-4,0 5,4 3,2 3,4 0,2 10,4 5,-3 4,-7 4,-6-3,-8-9,-4-4,0-13,-2 3,-4 1,2-2,-8 7,4-9,0-3</inkml:trace>
  <inkml:trace contextRef="#ctx0" brushRef="#br0">8739 29273,'0'0,"20"-4,-10 4,2 0,8-4,-1 2,-3 0</inkml:trace>
  <inkml:trace contextRef="#ctx0" brushRef="#br0">9230 29079,'0'0,"-16"38,8-23,0 7,-2 5,4 11,2 6,4 3,0-5,6-1,4-8,0 0,0-6,0-1,-2-11,2-2,4 3,-2-1,10 5,-2-10,-4-2</inkml:trace>
  <inkml:trace contextRef="#ctx0" brushRef="#br0">9533 29302,'0'0,"0"24,0-15,0 0,0 4,2 2,-2-6,2 3,0-3,4-4,0-2,0-1,0-2,-2 0,4 0,-6-5,2 0,0-4,-2 3,-2-4,0 5,0-1,0 6,0-7,0 5,2 4,0 5,0-1,2-3,0 3,6 0,-4-4,6 4,-4-1,6-3,-4-2,2 0,-4 0,0-2,0-5,-2 1,-6-4,4 5,-4-1,-4-3,-2 2,0 0,0 1,-6 4,6 2,-2 0,4 0</inkml:trace>
  <inkml:trace contextRef="#ctx0" brushRef="#br0">9527 29166,'0'0,"0"-2,-6 2,2 0,-2 2,0 2,0-4,0 6,-6-4,2-2,-1 2,5-2,-6 3,6-3,0 0,2 0,1 0,1 0,2-3,2 3,0 0,-1 0,3 0,-4 0,4 0,-4 5,0-1,0 0,0 1,0 4,0-4,0 2,0 2,0 3,0-3,0 5,0 0,-4 3,4 0,0 6,-4-7,4 0,0 1,0 0,0-5,4 0,0 2,-2-4,2 1,2-5,2 1,2 1,1-6,-1 6,4-6,-8 3,8-5,-4 5,-2-5</inkml:trace>
  <inkml:trace contextRef="#ctx0" brushRef="#br0">10272 29172,'0'0,"23"-2,-15 2,2 0,4 0,-4 0,2 0,0 0,-6 0,0 0,0 0,-4 0,-4 2,2 2,-4-4,2 0,2 2,0 0,0 1,0 5,0-1,0 2,0 3,2 3,4-4,-2 3,0 4,-2-1,4 0,0 4,-4-7,2 6,2-5,-4 4,4-7,-6 0,6 2,-6-4,0 1,0-3,0-1,0 1,0 0,-2-3,-2 2,-4-5,2 0,2-2,-4 0,0 0,0 0,0-2,2 0,2-3,-2 3,0 2,6-3</inkml:trace>
  <inkml:trace contextRef="#ctx0" brushRef="#br0">10626 29280,'0'0,"28"28,-14-22,-2 6,2-3,-2 0,2-1,-6-3,0 2,-2-5,-4 2</inkml:trace>
  <inkml:trace contextRef="#ctx0" brushRef="#br0">10714 29280,'0'0,"-26"24,16-14,-2 6,6-2,0 6,0-9,4 3</inkml:trace>
  <inkml:trace contextRef="#ctx0" brushRef="#br0">11079 29160,'0'0,"0"33,4-17,-2-6,2 7,2 0,-2-1,1-1,3 3,-6-6,4 2,-2-5,0-2,-2-1,-2-6,6 4,-4-4,-2-4,0 2,0-3,0-3,-2 1,-4-1,6 2,0-2,0 0,0 2,0-2,0 1,6 5,0-4,-4 2,0-2,4 6,2 0,-8 0,8 0,0 4,-4 2,2 0,2 1,-2 5,-3-4,3 1,0 4,0-5,-2 1,0 0,-2-2,4-7</inkml:trace>
  <inkml:trace contextRef="#ctx0" brushRef="#br0">11331 29302,'0'0,"28"0,-20 0,8 0,-2 0,-4 0</inkml:trace>
  <inkml:trace contextRef="#ctx0" brushRef="#br0">9856 29354,'0'0,"16"-4,-12 4,2 0,0 0,8 0,0 0,-4 0</inkml:trace>
  <inkml:trace contextRef="#ctx0" brushRef="#br0">10007 29282,'0'0,"28"-13,-24 13,4 0,-2 0,-2 4,0 1,-2 5,2-4,-4 6,0-2,0 8,-4-8,2 3,-2 2,0-6,-2 3,0 0,4-7,2 1,-2-2,4-4,2-4,4 0,0 2,-4-1,10 1,-10 2,10 0,-6 0,-2 0,4 0,-1 0,1 0,-4 0</inkml:trace>
  <inkml:trace contextRef="#ctx0" brushRef="#br0">10206 29269,'0'0,"6"37,-4-27,0 6,-2-5,0 2,8-3,-4-1,0-1,-2 2,4-3,-2-2,0 2,6-5,-4 0,-4-2,4 0,-1 0,-3-2,0-5,0 5,-2-3</inkml:trace>
  <inkml:trace contextRef="#ctx0" brushRef="#br0">10184 29341,'0'0,"32"0,-16 0,-8-4,4 4</inkml:trace>
  <inkml:trace contextRef="#ctx0" brushRef="#br0">11023 29094,'0'0,"-32"2,24 1,-2 1,2-4,0 0,2 0,4 3,-4-3,4 0,2 2,0 0,2-2,-2 4,0-1,0 1,0 0,0-1,0 4,0-1,0 1,0 3,0-2,0 6,6-1,-6 3,0 1,2-1,-2-1,0 5,0-3,0 0,0 0,0-2,0-1,0 3,0-8,0 5,4-6,0-1,4 1,-2-4,6 1,2-3,0 0,2 0,2-2,-2 6,0-5,13 5,-9-5,0 3</inkml:trace>
  <inkml:trace contextRef="#ctx0" brushRef="#br0">11504 29212,'0'0,"34"-17,-28 15,4 0,2 2,-10 0,6 2,-6 3,-2 4,0 1,0-1,0 5,-2-3,-6 3,2-1,-2 3,2-6,0 0,0 0,2-6,0 2,4-5,0 1,4-2,0 0,4 0,-2 0,4 0,-2 0,0 0,2 0,0 4,2-4,-2 0,0 2,6-2,-6 0,0 0</inkml:trace>
  <inkml:trace contextRef="#ctx0" brushRef="#br0">11773 29176,'0'0,"8"33,-8-23,4 5,-4-6,0 5,0-2,0-3,4 1,0-2,4-2,-4-2,6-4,-3 2,1-2,0 0,0 0,2-2,-6-2,4-4,-2 2,-6 0</inkml:trace>
  <inkml:trace contextRef="#ctx0" brushRef="#br0">11724 29243,'0'0,"35"-7,-25 7,2-2,0 2,8 0,-7-4,1 2</inkml:trace>
  <inkml:trace contextRef="#ctx0" brushRef="#br0">11918 29128,'0'0,"32"-3,-22 3,6 0,-2 0,-4 0,-2 0,0 0,-2 0,-2 3,0 1,0 5,-2-7,-2 5,4-3,-4 0,0 0,0 0,2 0,-2 2,0-4,0 5,0 1,2-1,-2 5,6 0,-4 4,4-5,-4 7,2 1,0-1,2 0,0-1,-6-1,4 2,-4-4,0 2,0-5,-4 0,-2-3,-2-1,2-1,-4-3,2-1,-2-2,0 0,-2 0,2-2,4 0,-4-1,2-1,6 3</inkml:trace>
  <inkml:trace contextRef="#ctx0" brushRef="#br0">12186 29048,'0'0,"12"33,-2-20,-1 7,1 7,6 4,0 16,4 3,4-3,-8-4,-8-5,0-11,-8-5,0-5,-4-6,-6 10,0-4,-6 0,2-6,-6 1,6-5,-2-3</inkml:trace>
  <inkml:trace contextRef="#ctx0" brushRef="#br0">5248 30547,'0'0,"17"0,-7 0,2 2,4-2,0 0,7 0,-3 0,0-2</inkml:trace>
  <inkml:trace contextRef="#ctx0" brushRef="#br0">5313 30574,'0'0,"-6"44,2-31,4 0,-2-1,2-1,0-1,0-1,2-2,6-1,0-2,2-2,-1-2,3 0,4 0,0-4,-4 0</inkml:trace>
  <inkml:trace contextRef="#ctx0" brushRef="#br0">5678 30580,'0'0,"38"0,-26 0,-2 0</inkml:trace>
  <inkml:trace contextRef="#ctx0" brushRef="#br0">5712 30639,'0'0,"42"0,-34 0,2-2</inkml:trace>
  <inkml:trace contextRef="#ctx0" brushRef="#br0">6399 30348,'0'0,"0"2,0 1,0 5,4 3,-4 0,0 2,4-1,-4 1,0 2,4 4,-4 2,0-4,0-3</inkml:trace>
  <inkml:trace contextRef="#ctx0" brushRef="#br0">6287 30359,'0'0,"34"-2,-18 2,4 0,-2 0,6 0,2 0,8 0,-6 0,-4 0</inkml:trace>
  <inkml:trace contextRef="#ctx0" brushRef="#br0">6173 30658,'621'0</inkml:trace>
  <inkml:trace contextRef="#ctx0" brushRef="#br0">6173 30864,'0'0,"-4"0,4 0,0-2,0-2,6 0,2 4,-2-6,3 4,1 2,-2 0,0 0,0 0,-2 2,-4 8,2 0,-2 1,-2 5,0 0,-2-1,-2 0,-2-1,4-1,-6-1,4-4,0 0,4-3,-2-3,2 0,2-2,6 0,-6-2,6 0,2-1,-2 1,-1 2,-1-2,2 0,2 2,-2-2,0 2,0 0</inkml:trace>
  <inkml:trace contextRef="#ctx0" brushRef="#br0">6423 30837,'0'0,"4"44,-4-30,0 2,0-1,0 0,0 1,0-1,6-2,0-4,-2-4,4-1,-2 2,2-5,-2-1,2 0,-2 0,0-5,-2 3,4-5,-6 5</inkml:trace>
  <inkml:trace contextRef="#ctx0" brushRef="#br0">6373 30926,'0'0,"46"-6,-28 4,0 2,2-1,-4 1</inkml:trace>
  <inkml:trace contextRef="#ctx0" brushRef="#br0">6692 30879,'0'0,"-6"21,4-8,2 4,-6 2,2-4,2 8,0-7,2-5,0 7,0-12,0 2,0-4,2-4,0-2,4-4,-2-4,-2-3,4-3,-4 0,2-7,0 1,-4 2,4-2,-4 3,4 2,-4 1,0 8,4 1,0 2,-4 2,4 3,-2 0,2 0,2 6,-2 3,0 1,2 4,2-1,0 5,0-2,0-1,0 6,-2-4,2-1,-4 0,2-2,-4-3,2 1,-2-5,-2-3</inkml:trace>
  <inkml:trace contextRef="#ctx0" brushRef="#br0">6706 30964,'0'0,"42"-17,-30 15,8 2,-2 0,-4 0</inkml:trace>
  <inkml:trace contextRef="#ctx0" brushRef="#br1">6303 30406,'0'0,"24"-8,10 4,10 0,10 4,-2-3,-17 3,-12 0</inkml:trace>
  <inkml:trace contextRef="#ctx0" brushRef="#br0">7079 30361,'680'0</inkml:trace>
  <inkml:trace contextRef="#ctx0" brushRef="#br0">7731 30278,'0'0,"12"11,-6-3,0-2,4 0,-2-2,2 3,-2 1,4 4,-4-2,-8 1,4 0,-4 2,-4-2,2 1,-6-7,2 5,0-4,-2 0,0-2,8 2,-2-6,-2 3</inkml:trace>
  <inkml:trace contextRef="#ctx0" brushRef="#br0">8205 30361,'0'0,"0"21,2-13,-2 4,0-1,4 1,0-2,-4 0,8 2,-2-3,-2-7,2 4,2-4,-6-2,2 0,0-8,-2 0,2 3,-4-5,2-2,-2 4,0 0,0 1,0 5,-2 2,2 2,0 2,0 3,6-1,-2 2,4 2,0-5,4 2,0-4,2 3,0-4,-2-2,0 0,-8 0,2-8,0 5,-4-4,-2 2,0-1,0-2,0 2,-2 0,-4-3,-2 5,6-4,-10 0,6 1,0 4</inkml:trace>
  <inkml:trace contextRef="#ctx0" brushRef="#br0">8426 30320,'0'0,"4"30,-2-21,4 6,0 1,0 0,4-3,-8 1,6-4,0-3,-1 3,-7-10,0 4,2-4,-2-4,0-6,0 5,0-4,0 4,0-3,0-1,0 5,0 0,6 4,-6-4,2 4,2 0,0 0,-2 4,4 0,2 0,0 5,-6-1,6 0,0-2,0-1,2 5,-2-6,0 0</inkml:trace>
  <inkml:trace contextRef="#ctx0" brushRef="#br0">8669 30423,'0'0,"-32"-23,26 23,-2 0,6 2,0 2,-2 0,0-1,4 3,-4-2,4 0,0 2,4-3,0 4,0-7,0 2,0 1,4-3,-4 0,2 0,-2 0,2 0,-4-3,4 3,-6-2,6 2,-4 0,-2 0,4 0,0 0,-2 2,4 3,2-5,0 5,0-3,2-2,0 0,0 0,-2 0</inkml:trace>
  <inkml:trace contextRef="#ctx0" brushRef="#br0">8765 30328,'0'0,"4"27,0-15,-2 1,6-1,-2 2,2-1,-6-5,6 1,1 0,-1-4,0 0,-2-3</inkml:trace>
  <inkml:trace contextRef="#ctx0" brushRef="#br0">8767 30402,'0'0,"40"-12,-25 12,3 0,-2 0,-6 0</inkml:trace>
  <inkml:trace contextRef="#ctx0" brushRef="#br0">9434 30357,'0'0,"12"33,-4-21,-6-1,4 3,3 2,-3-9,2 3</inkml:trace>
  <inkml:trace contextRef="#ctx0" brushRef="#br0">9575 30361,'0'0,"-22"2,18 3,0 1,2 2,2-3,0-2,0 1,0 0,0 0,6 0,-2-2,6 0,-2 2,-2-1,4 1,-2 2,0-2,0 4,-2-2,-4 1,-2 1,0 0,0-2,0-4,-2 0,2 1,-4-3,2 0,-2-3,0-1,2-2,0 4</inkml:trace>
  <inkml:trace contextRef="#ctx0" brushRef="#br0">10047 30402,'0'0,"32"-2,-22 2,2-2,-2 0,-2-4,1 6,-1-7,-6 4,4-3,-6 0,0 5,-6-5,0 4,2 0,-5 2,1 0,6 0,-6 0,0 4,0 3,2-1,0 3,2-2,0 5,4-1,0 1,4-2,4 0,2 0,6-5,0 1,9 0,-9-6,0 0</inkml:trace>
  <inkml:trace contextRef="#ctx0" brushRef="#br0">10200 30392,'0'0,"28"27,-16-21,-4 2,8 2,-3-3,-3 0</inkml:trace>
  <inkml:trace contextRef="#ctx0" brushRef="#br0">10281 30392,'0'0,"-33"27,29-19,-2 8,0-2,4 1,2-5,0 6</inkml:trace>
  <inkml:trace contextRef="#ctx0" brushRef="#br0">10335 30427,'0'0,"4"28,0-15,-2 0,0 4,0-1,0 0,6-2,0-1,-6-2,4-4,0-4,-2 3,-4-4,0-10,0 5,0-4,-2-4,-6-2,6-5,-4 1,2-1,-2-5,0 7,4-1,2 5,0 2,0 5,0-3,2 4,2 2,4 0,-4 0,4 2,-2 0,-2 2,8 2,-8 2,2 0,0 0,-4 3,-2-1,0-3,0 2,-2-5,-4 1,6-1,-6-2,4 0,-6 0,8-5,-6 5,6-6,0 3,0 2,0-1,8 0,0 0,0 0,6 2,0-4,3 2,1 0,2-3,-2 1,-2 2,-4-4,-4 2,-2 0,-6 0,0 1,0-1,-6 1,4 3,-4 0,0 0,0 0,0 0,2 0,-2 0,2 3,0 1,-2-1,4 3,0 0,2 0,0 0,2 3,6-3,-2 0,6-2,-4 2,8-6,2 3,-10-3</inkml:trace>
  <inkml:trace contextRef="#ctx0" brushRef="#br0">10720 30368,'0'0,"-32"6,26 2,4 0,0-2,2 4,0-2,0 3,8-3,-4-2,14 0,-4-3,0-1</inkml:trace>
  <inkml:trace contextRef="#ctx0" brushRef="#br0">10793 30303,'0'0,"8"33,-4-19,0-5,4 4,-3 0,-3-2,6 3,-4-7,2 1</inkml:trace>
  <inkml:trace contextRef="#ctx0" brushRef="#br0">10822 30374,'0'0,"28"0,-18 2,2-2,-6 4</inkml:trace>
  <inkml:trace contextRef="#ctx0" brushRef="#br0">10897 30385,'0'0,"28"0,-18 0,-6-2,0 2,4-7,0 5,-8 2,6-7,-4 7,2-8,-4 8,0-4,0 0,-4 3,2 1,-4-6,2 6,-8 0,8 6,0-5,0 5,-2-2,4 2,2 3,0 0,0-2,2 3,4-2,4-4,4 5,2-7,-2 0,0 2</inkml:trace>
  <inkml:trace contextRef="#ctx0" brushRef="#br0">11138 30309,'0'0,"6"13,-2-5,0 6,0-7,0 9,0-3,4-3,-2 2,-4-6,8 5,-4-5,-4 0</inkml:trace>
  <inkml:trace contextRef="#ctx0" brushRef="#br0">11146 30413,'0'0,"-34"0,26 1,-1 2,9 1,-4-2,0 0,4 0,0 2,0-2,8 4,-4-2,7 0,-1 4,6-6,-8 1</inkml:trace>
  <inkml:trace contextRef="#ctx0" brushRef="#br0">11718 30282,'0'0,"4"35,-2-22,2 1,4 3,-4 2,0-7,4 2,-4-6,5 3,-3-3,2-6,-2 2,6-4,-6 0,0-6,0 6</inkml:trace>
  <inkml:trace contextRef="#ctx0" brushRef="#br0">11680 30385,'0'0,"32"-22,-22 22,4-2,-4 2,9 0,-5 0,0 0</inkml:trace>
  <inkml:trace contextRef="#ctx0" brushRef="#br0">11856 30363,'0'0,"0"27,0-23,8 4,0-4,0 0,-2-2,0-1,0-1,4 0,-4-1,-4-3,-2 0,0-2,0 0,0 1,-2 0,-2-3,-2 8,0-6,-2 5</inkml:trace>
  <inkml:trace contextRef="#ctx0" brushRef="#br0">11982 30385,'0'0,"10"28,-2-18,-8-6,8 2,-4-3,0-3,-4-3,0-3,0 2,-4-6,0 5,4-3,0-2,0 5,0-4,0 7,0-5,0 7,4-6,0 4,-2 2,6 0,-2 0,4 0,10 8,-4-8,3 0</inkml:trace>
  <inkml:trace contextRef="#ctx0" brushRef="#br0">12206 30390,'0'0,"-30"-16,30 16,-8 0,4 0,0 6,2-3,-2 4,4-5,0 6,0-2,0-2,6-1,-2-2,8-1,-10 0,8 0,-4 0,2 0,-2-1,-1-2,-3 1,2 2,0 0,2 0,-4 5,2 1,-2 2,0 1,0 5,0 2,2-6,-4 5,8 1,-8-7,8 5,-2-4,0-3,-2 0,4-4,0 1,-4-4,2 0,4 0,-4-4,2 1,2-4,-4-2,4 1</inkml:trace>
  <inkml:trace contextRef="#ctx0" brushRef="#br0">12375 30361,'0'0,"8"13,-4-5,2-3,0-2,2-1,1 0,-1 0,0-2,0 0,-6-2,4-2,-4 1,2-2,-4-3,0 2,0 1,0 1,-6 2,6-4</inkml:trace>
  <inkml:trace contextRef="#ctx0" brushRef="#br0">12536 30367,'0'0,"32"0,-24-6,-2 4,-2 0,-2-4,2 1,-4 3,0-2,0 0,-6 2,2-2,-2 2,-2 2,0 0,2 0,2 6,-4-4,4 5,0 0,2 0,2-3,0 3,6 5,2-5,4-2,-2 1,6-2,0 2,2-6,6 0,-4 0,-4 0</inkml:trace>
  <inkml:trace contextRef="#ctx0" brushRef="#br0">12784 30307,'0'0,"-8"-27,8 22,4-1,-4 1,6 3,0-1,2 3,0 0,2 0,2 3,-6 4,6 2,-8-2,0 5,-4 2,0 1,0 3,-2-1,0-2</inkml:trace>
  <inkml:trace contextRef="#ctx0" brushRef="#br0">12888 30557,'0'0,"14"4,-14-4</inkml:trace>
  <inkml:trace contextRef="#ctx0" brushRef="#br2">1774 30509,'0'0,"8"31,-4-20,-4 3,0-2,0 1,0-2,0 4,0-8,-4 1,4-2,-2-4,0-8,2-2,0-1,0-4,0 0,0 0,2-1,0 2,4 3,-2-1,-2 6,2 2,0 2,2 0,-2 4,0 4,4 1,-2 5,-2-1,-2-3,2 0,0-3,-2 0,-2 1,0-16,0-1,0 0,0-3,0-1,4 0,0 5,-4 0,4 0,0 6,-4 0,6 2,-4 0,6 4,-4 4,0 0,4 0,-4 3,0 0,4-7,-2 8,2-3,-6-5</inkml:trace>
  <inkml:trace contextRef="#ctx0" brushRef="#br2">1994 30538,'0'0,"-12"-10,12 10,-6 0,4 4,0 4,0-3,-2 2,4 0,0 2,0-3,0-3,0 4,4-7,-2 0,6 0,-6 0,6-4,-4-1,0 0,-4-4,4 0,0 4,-4 0,0 1,0 2,0 0,2 2,2 0,-4 4,2-2,0 3,2-1,-2 1,4 2,-2-5,8 5,-6-5,0 0</inkml:trace>
  <inkml:trace contextRef="#ctx0" brushRef="#br2">2070 30507,'0'0,"40"23,-30-15,4-1,2 0,0 2,-2-7</inkml:trace>
  <inkml:trace contextRef="#ctx0" brushRef="#br2">2146 30491,'0'0,"-16"35,8-12,4-2,-2-7</inkml:trace>
  <inkml:trace contextRef="#ctx0" brushRef="#br2">2544 30368,'0'0,"13"15,-7-2,-2 4,2 1,0 1,0-1,3-2,-1 0,0-4,-2-2,2-6,-2 0,-2-4,0 0,-2-4,4 0,-6-4</inkml:trace>
  <inkml:trace contextRef="#ctx0" brushRef="#br2">2526 30457,'0'0,"27"-9,-15 6,2 3,-2 0,9 0,-3 0,-8 0</inkml:trace>
  <inkml:trace contextRef="#ctx0" brushRef="#br2">2702 30460,'0'0,"-2"12,8-6,0-2,2 0,2 1,-2-5,2 0,0 0,-2 0,-2-5,-4-1,0 2,-2-4,0 0,-4 5,0-2,-4 3,-4 2,2 0,4 0</inkml:trace>
  <inkml:trace contextRef="#ctx0" brushRef="#br2">2832 30441,'0'0,"6"19,0-11,-2-4,2 0,-3 1,1-4,0-1,-4 0,0-2,-6-4,4 0,-1 2,1-1,-2-2,2 0,0 1,2 2,0 0,0 2,2-2,4 2,-3 0,3 2,4 0,4 0,-2 0,0 0</inkml:trace>
  <inkml:trace contextRef="#ctx0" brushRef="#br2">3018 30396,'0'0,"-38"12,30-7,2 3,2-4,2 0,0-2,2 2,0-3,2-1,6 0,0 0,2 3,0-3,0 0,-2 6,4-4,-2 3,-6 2,2-2,-6-1,0 4,0-3,-6-4,-2 5,-2-6,2 0,2 0</inkml:trace>
  <inkml:trace contextRef="#ctx0" brushRef="#br2">3116 30410,'0'0,"-4"37,4-27,4-3,2-1,-2-2,4-2</inkml:trace>
  <inkml:trace contextRef="#ctx0" brushRef="#br2">3190 30404,'0'0,"-8"31,10-23,4-1,2-2,-2-1,6-3,-4-1,4 0,-2-1,-1-6,-1 2,-4-1,-4 1,0 0,0 3,-4-2,-4 2,-1 0,-1 2,2 0,2 0</inkml:trace>
  <inkml:trace contextRef="#ctx0" brushRef="#br2">3311 30396,'0'0,"6"33,-4-26,-2 2,2-2,2 0,-2-6,0 3,0-4,-2-5,0-2,0-2,4-1,-2-2,-2 3,4-3,-2 2,4 3,-4-2,6 3,-6 5,4-3,0 4,0 0,2 2,-4 1,4 5,-2 1,0-2,4 3,-2-2,-4-4</inkml:trace>
  <inkml:trace contextRef="#ctx0" brushRef="#br2">3605 30383,'0'0,"-4"-24,2 20,-4 2,-2 0,2 2,-3 0,3 0,-4 2,2 4,-4 2,6 1,2 2,-2 0,4-1,2-4,0 5,2-7,4 2,4-5,-4-1,4 0,-2 0,-2-3,0-3,1-2,-5-1,2-1,-4 4,0-1,0 3,0 1,0 3,0-4,0 8,2-2,2 1,0 2,0 3,0-2,2 0,2-2,0 3,0-3,4 0,-6-4,8 0,-6 0,-2 0</inkml:trace>
  <inkml:trace contextRef="#ctx0" brushRef="#br2">3659 30275,'0'0,"8"30,-4-15,4 1,0-1,0 1,0 0,0 1,8 0,-8-3,2-2</inkml:trace>
  <inkml:trace contextRef="#ctx0" brushRef="#br2">2182 30976,'0'0,"2"-19,-4 19,-2 0,-4 0,-2 4,0 2,4-1,-2 3,4 0,-2 0,6-3,0-1,0 1,4-1,6 1,-2-1,4 3,0-3,2 2,-2 4,-2-2,-2-1,-2 3,-6 0,0-2,-8 1,-4-5,2 0,-2-2,0-2,0-4,2-2,6 1</inkml:trace>
  <inkml:trace contextRef="#ctx0" brushRef="#br2">2240 30957,'0'0,"6"33,0-20,-2 3,2-1,1-3,1 2,-4-3,4-2,-4 0,2-2,-2-6,-2-1,0 0,-2-4,0-2,0-2,-2 0,0 2,-2-1,4-1,0 0,0 0,0 2,0 1,0 1,0 1,4 1,-2 2,6 0,-4 5,4 2,-2-3,2 2,-2 2,4-2,2 4,-2-1,0-3</inkml:trace>
  <inkml:trace contextRef="#ctx0" brushRef="#br2">2407 31030,'0'0,"34"3,-24-3,-2 0,-4 0,2-3,-5 1,1-5,0 5,-2-5,0 5,-2-3,0 3,-3 0,3 2,-6 0,4 0,-2 0,0 2,2 4,0-5,0 8,4 0,0-3,0 0,6 2,0 0,4-2,4-1,5-1,1 0,-4-2</inkml:trace>
  <inkml:trace contextRef="#ctx0" brushRef="#br2">2591 31010,'0'0,"-34"18,34-14,0 0,0 0,6 0,-2 0,2-2,2-2,0 0,1 0,-7 0,4 0,-2-6,0 4,0 0,-2 0,0 2,-2-2,2 2,0 4,2-2,-2-2,0 2,6 0,-2 0,0-2</inkml:trace>
  <inkml:trace contextRef="#ctx0" brushRef="#br2">2692 31003,'0'0,"4"25,2-19,-6 0,8-2,-6 2,2-2,-2-2,0 0,-2-4,-4-2,0 0,2-2,-2-2,0 2,4-6,0 3,0 0,0 1,0 3,8-2,-6 3,6 2,2 0,10 2,-6 0,2 0</inkml:trace>
  <inkml:trace contextRef="#ctx0" brushRef="#br2">3064 30896,'0'0,"0"-15,-4 15,-2 0,-2 6,2-2,-2 0,2 2,-2 2,4-2,4-3,0 3,0-2,4 0,4-2,-2 1,4 1,2 4,-6-4,0 4,2-1,-6 3,0 0,-2-2,0-5,-2 1,-6 3,2-7,-2 0,0 0,2-3,2-3,-2-1,2-2,0-2,4 1,0-1,0 5</inkml:trace>
  <inkml:trace contextRef="#ctx0" brushRef="#br2">3134 30848,'0'0,"14"29,-10-15,-2-4,4 7,-4-1,2-8,2 5,-2-5,2-1,-2-3,0 0</inkml:trace>
  <inkml:trace contextRef="#ctx0" brushRef="#br2">3134 30922,'0'0,"34"-11,-24 11</inkml:trace>
  <inkml:trace contextRef="#ctx0" brushRef="#br2">3277 30955,'0'0,"-14"-40,14 36,0-1,0 0,0 2,4 1,2-1,0 1,0 2,0 0,4 0,0 0,2 0,0 2,0 0,-2-1,-4 1,2 1,-2-3,0 0,-2 0,-2 0,0 0,2 0,-2 0,0 0,-2 0,0-3,0 1,0 1,0-1,0 0,0-2,0 4,0-2,0 0,0 0,-2 2,0 0,-4 0,4 0,-2 2,-2 2,4-2,-2 2,4-1,-4 2,4 0,0 2,0-2,4 3,0 0,4-5,0 2,4 2,0-3,2-2,4-2,-4 0,-2 0,1-4,3-5,-8 6</inkml:trace>
  <inkml:trace contextRef="#ctx0" brushRef="#br2">3619 30844,'0'0,"-22"20,16-18,0 4,4-6,2 1,0 1,0-2,6-2,2 1,-4 1,6 0,0 3,0 3,-2 0,2 3,-4-4,-6 7,0-7,0 3,-2 0,-6-5,-2-1,0 0,0-2,2 0,2 0,4 0,0-4,2 4,0-2,0 1</inkml:trace>
  <inkml:trace contextRef="#ctx0" brushRef="#br2">3737 30831,'0'0,"-26"2,20 2,4-1,2-3,0 4,0-2,0 0,2-2,6 0,-2 2,6 2,-2-2,-4 4,4 2,-2-3,-2 3,-4 2,0-3,-2 2,0-3,-2-3,-4 3,0-2,0-2,-2-2,2 0,0 0,2-4,0 0,4-1,0 3</inkml:trace>
  <inkml:trace contextRef="#ctx0" brushRef="#br2">4154 30785,'0'0,"42"-5,5-3,27-1,11-5,15 5,-1 2,-5 2,-27-1,-19 4</inkml:trace>
  <inkml:trace contextRef="#ctx0" brushRef="#br2">4774 30665,'0'0,"-4"28,22-22,2 3,2-2,-4 2,0 3,-8-3,-6 2,-4-2,0-2,-10 1,2-1,-6 3,4-4,0 0,4 2,2-6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6:01.90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23 136 392,'0'0'17424,"0"-3"-21933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6:10.75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5 1816,'0'0'15427,"67"-4"-15427,-52 4-248,0 0-912,8 0-1113,-8 0-3680</inkml:trace>
  <inkml:trace contextRef="#ctx0" brushRef="#br0" timeOffset="334.57">82 88 6785,'0'0'9794,"53"-15"-9482,-46 15-304,8 0-8,0 0-984,-8 0-1265,8 0-6640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6:17.4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64 9009,'0'0'9095,"8"0"-8348,30-10-124,-31 7-630,1 1 1,-1 0-1,0 0 0,1 1 0,13-1 0,0 1-200,-15 0 56,0 1 1,0-1-1,0 1 1,0 0 0,0 1-1,0 0 1,0-1-1,0 2 1,0-1-1,9 4 1,-14-4 127,0 0 1,0 0-1,0-1 1,-1 1-1,1 0 0,0 0 1,0 0-1,-1 0 1,1 0-1,-1 0 1,1 0-1,-1 0 0,1 0 1,-1 0-1,1 0 1,-1 1-1,0-1 0,0 0 1,0 0-1,1 0 1,-1 0-1,0 1 0,-1-1 1,1 0-1,0 0 1,0 0-1,0 0 1,-1 1-1,1-1 0,-1 2 1,0-1 29,-1 1 0,1-1 1,0 1-1,-1-1 1,1 1-1,-1-1 0,0 0 1,0 0-1,0 0 0,0 0 1,-3 2-1,-29 12 192,19-7-128,42-7-164,-21-1-31,1 0-1,-1 0 1,0 0-1,0 1 0,0 0 1,0 0-1,0 1 1,0-1-1,0 1 1,-1 1-1,0-1 0,6 5 1,-7-6 56,-1 1-1,0 0 1,1 0 0,-1 0 0,0 0 0,0 1 0,-1-1-1,1 1 1,-1-1 0,1 1 0,-1 0 0,0 0 0,-1 0-1,1 0 1,-1 1 0,0-1 0,0 0 0,1 5 0,-2 7 0,1-10 131,-1 1-1,0-1 1,0 0-1,-1 0 1,0 1 0,-2 8-1,2-14-24,1 1 0,-1-1 0,0 1 0,0-1 0,0 1 0,0-1-1,0 0 1,0 1 0,0-1 0,0 0 0,-1 0 0,1 0 0,-1 0 0,1 0 0,0 0-1,-1 0 1,1 0 0,-1 0 0,0-1 0,1 1 0,-1-1 0,0 1 0,1-1 0,-1 0-1,0 0 1,1 1 0,-1-1 0,-3-1 0,-3 2 107,-20-1 95,28 0-249,-1 0 0,1 0-1,-1 0 1,0 0 0,1 0 0,-1 0 0,1 0-1,-1 0 1,0 0 0,1 0 0,-1-1 0,1 1-1,-1 0 1,1 0 0,-1-1 0,1 1 0,-1 0-1,1-1 1,-1 1 0,1 0 0,-1-1 0,1 1 0,-1-1-1,1 1 1,0-1 0,-1 1 0,1-1 0,0 1-1,-1-1 1,1 0 0,0-9-1459,0 2-2341</inkml:trace>
  <inkml:trace contextRef="#ctx0" brushRef="#br0" timeOffset="781.21">441 80 7641,'0'0'6998,"13"-3"-6889,63-13-78,-69 16-42,-6 0-30,-23 10 265,-89 43 2336,110-52-2485,1 0 22,0 1-93,1 0 0,1 0 1,0-1-1,0 1 1,0 0-1,0-1 1,0 0-1,0 1 1,0-1-1,0 0 1,0 0-1,1 0 1,-1 0-1,0-1 1,5 2-1,3 1 17,1 3-4,-1-1 0,1 1 0,-1 1 0,0 0 0,-1 0 1,0 1-1,13 14 0,-18-17-11,0 1-1,0 0 1,0 0 0,-1 0 0,0 1 0,-1-1-1,1 1 1,-1-1 0,-1 1 0,1 0 0,-1 0 0,0 0-1,0 0 1,-1 9 0,0-14-4,0 0 0,0 1 0,0-1-1,0 0 1,0 0 0,-1 0 0,1 0 0,-1 0 0,1 0 0,-1 0-1,0 0 1,0 0 0,-1 3 0,0-4 1,1 0-1,0 0 1,-1 0 0,1 0 0,-1 0 0,1-1-1,-1 1 1,0 0 0,1-1 0,-1 1-1,0-1 1,0 1 0,1-1 0,-1 0 0,0 0-1,0 0 1,1 0 0,-3 0 0,-3 0-86,1 0-1,0-1 1,-1 0 0,1 0 0,0 0 0,-1 0 0,1-1-1,0 0 1,0-1 0,-10-4 0,15 3-649</inkml:trace>
  <inkml:trace contextRef="#ctx0" brushRef="#br0" timeOffset="2168.64">800 242 5297,'0'0'11322,"-15"4"-10366,15 6-1144</inkml:trace>
  <inkml:trace contextRef="#ctx0" brushRef="#br0" timeOffset="2712.05">972 12 4721,'0'0'10702,"-15"-12"-9366,13 13-1302,0-1 0,0 1-1,0 0 1,0 0 0,1 0 0,-1 0-1,0 0 1,1 0 0,-1 1 0,1-1-1,-1 0 1,1 1 0,-1-1 0,1 1-1,0-1 1,0 1 0,0 0 0,0 0-1,-1 3 1,-1-1-2,1 1-1,0-1 0,1 0 1,-1 1-1,1 0 1,0-1-1,-1 7 1,2-9-25,-1 0 0,1 0 0,0 0 0,1 0 0,-1 0 0,0 0-1,0 0 1,1 0 0,-1 0 0,1 0 0,0 0 0,-1-1 0,1 1 0,0 0 0,0 0 0,0-1 0,1 1 0,-1-1 0,0 1 0,2 1 0,0-2-9,-1 0 0,1 0-1,0 0 1,-1 0 0,1 0 0,0-1 0,0 1-1,-1-1 1,1 0 0,0 1 0,0-2 0,0 1-1,-1 0 1,6-1 0,-6 0-14,-1 1 1,1 0-1,0-1 0,0 1 1,0-1-1,0 0 1,-1 0-1,1 0 0,0 0 1,-1 0-1,1 0 0,0 0 1,-1 0-1,1 0 1,-1-1-1,0 1 0,0-1 1,1 1-1,-1-1 0,0 0 1,0 1-1,1-4 1,0 1-14,-1-1 1,1 0 0,-1 0 0,0 0 0,0 0 0,-1 0 0,0-8 0,0 13-3,-1-1 0,1 0 0,-1 1-1,1-1 1,-1 0 0,0 1 0,0-1 0,1 1 0,-1-1 0,0 1-1,0-1 1,1 1 0,-1-1 0,0 1 0,0 0 0,0 0 0,0-1-1,0 1 1,0 0 0,0 0 0,1 0 0,-1 0 0,0 0 0,0 0 0,0 0-1,-2 1 1,1-1-411,-1 0 1,0 0-1,0 0 0,0 0 0,0 1 0,0 0 1,0-1-1,-4 3 0,-6 7-3100,5-2-1898</inkml:trace>
  <inkml:trace contextRef="#ctx0" brushRef="#br0" timeOffset="3079.78">1069 136 6041,'0'0'7201,"-8"7"-6575,-23 23-51,28-26-486,1 0 1,-1 0 0,1 0-1,0 0 1,0 0 0,1 1-1,-1-1 1,1 0-1,0 1 1,0-1 0,0 1-1,1-1 1,-1 1-1,1 0 1,1 7 0,-1-8-40,0-1-38,0 0 0,0 0 0,0 0 0,0 0 0,1 0 0,0 0 0,-1 0 0,1 0 0,0 0 0,0 0 0,1 0 0,-1 0 0,0-1 1,1 1-1,0-1 0,0 1 0,0-1 0,0 1 0,0-1 0,0 0 0,0 0 0,1 0 0,3 2 0,0-1-17,-1-1 0,0 0 1,0-1-1,1 1 0,0-1 0,-1 0 1,1 0-1,-1-1 0,1 0 0,0 0 1,10-1-1,-14 1 0,0-1 0,0 1 0,0-1 0,0 0 1,-1 0-1,1 0 0,0 0 0,0 0 0,0 0 0,-1 0 0,1 0 0,-1-1 0,1 1 0,-1-1 1,1 1-1,-1-1 0,0 1 0,0-1 0,0 0 0,0 0 0,0 1 0,0-1 0,0 0 1,-1 0-1,1 0 0,0 0 0,-1 0 0,1-4 0,0-1 3,-1 1 0,1-1 0,-1 0 0,0 0 0,0 0 1,-1 0-1,-2-9 0,2 14-46,0-1 0,0 1 1,0-1-1,-1 1 0,1 0 1,-1-1-1,0 1 0,0 0 1,1 0-1,-1 0 0,-1 0 1,1 1-1,-4-4 0,-18-8-4921,9 9-3332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6:21.4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91 323 4352,'0'0'5098,"1"7"-4745,4 21 391,-4-21 1622,-3-20-55,-21-27-664,-12-28-208,27 42-1233,0 1 0,2-1 0,0 0 1,2-1-1,1 1 0,1-44 0,2 69-226,1-1 1,0 1-1,-1 0 0,1 0 0,0 0 0,-1 0 0,1 1 0,0-1 0,0 0 0,0 0 0,0 0 0,0 1 1,0-1-1,0 0 0,0 1 0,0-1 0,0 1 0,0-1 0,0 1 0,0-1 0,0 1 0,1 0 0,-1 0 1,0 0-1,0 0 0,0-1 0,1 2 0,-1-1 0,2 0 0,45 1-1077,-44 0 956,1-1-122,0 1 1,-1 0 0,0 1-1,1-1 1,-1 1-1,0 0 1,1 0-1,-1 0 1,0 1 0,-1 0-1,1-1 1,0 1-1,-1 1 1,0-1 0,5 5-1,4 4-1977,11 8-4550</inkml:trace>
  <inkml:trace contextRef="#ctx0" brushRef="#br0" timeOffset="213.3">8 195 2776,'0'0'8738,"112"0"-8434,-82 0-296,0-4-8,-7 4-976,-1-4-1673</inkml:trace>
  <inkml:trace contextRef="#ctx0" brushRef="#br0" timeOffset="452.59">285 70 1584,'0'0'14523,"7"94"-14067,1-67-280,7 3 56,0 0-232,0 0-200,0-7-384,-8-4-760,8-8-1209,-8 1-351</inkml:trace>
  <inkml:trace contextRef="#ctx0" brushRef="#br0" timeOffset="623.4">262 251 4624,'0'0'10723,"120"-15"-10723,-90 15-1393,-8 0-4816</inkml:trace>
  <inkml:trace contextRef="#ctx0" brushRef="#br0" timeOffset="942.82">613 244 10178,'0'0'10850,"15"0"-10850,8 0-1288,-1-4-1081,1 0-4368</inkml:trace>
  <inkml:trace contextRef="#ctx0" brushRef="#br0" timeOffset="1404.35">853 70 6225,'0'0'10938,"7"113"-10722,8-83-216,-8 4-48,8-7-608,0 7-624,0-8-1569,0-7-4464</inkml:trace>
  <inkml:trace contextRef="#ctx0" brushRef="#br0" timeOffset="6361.34">1054 130 3672,'-7'-5'15248,"-8"116"-13971,13-81-1151,1 28-38,2-55-105,-1 0 1,0 1-1,1-1 0,-1 0 1,1 0-1,0 0 1,0 0-1,0 1 1,1-2-1,-1 1 0,1 0 1,0 0-1,3 4 1,-5-7 10,1 1 0,-1 0 0,0-1 1,1 1-1,-1-1 0,1 1 1,-1-1-1,1 1 0,0-1 0,-1 0 1,1 1-1,-1-1 0,1 0 0,0 1 1,-1-1-1,1 0 0,0 0 1,-1 0-1,1 1 0,0-1 0,-1 0 1,1 0-1,0 0 0,0 0 0,-1 0 1,1 0-1,1-1 0,-2 1 12,1-1 0,0 0 0,0 0 0,-1 1-1,1-1 1,0 0 0,-1 0 0,1 0 0,-1 0 0,1 0-1,-1 0 1,0 0 0,1 1 0,-1-1 0,0 0 0,1-2-1,2-43 202,-3 42-248,0-3 42,0 0 0,0 1 1,1-1-1,0 0 1,1 0-1,3-11 0,-4 15-2,1 1-1,-1-1 1,0 1-1,0 0 1,1 0-1,-1-1 1,1 1-1,0 0 0,0 0 1,0 0-1,0 1 1,0-1-1,0 0 1,0 1-1,0-1 1,1 1-1,-1 0 1,1 0-1,-1 0 1,4-1-1,-4 1-4,0 1 0,1-1 0,-1 0 0,0 1 0,1 0 0,-1-1 0,0 1 0,1 0 0,-1 0 0,0 1 0,1-1 1,-1 0-1,0 1 0,1-1 0,-1 1 0,0 0 0,0 0 0,0 0 0,0 0 0,0 0 0,3 2 0,-4-1-5,1 0 0,0 0 0,-1 1 0,1-1 0,-1 1 0,0-1 0,0 1 0,0-1 0,0 1 0,0 0 0,-1-1 0,1 1 1,-1 0-1,0 0 0,0 0 0,0 4 0,0-5 8,1-1 1,-1 1-1,0-1 0,0 1 1,0-1-1,0 0 1,0 1-1,-1-1 1,1 1-1,0-1 0,-1 0 1,1 1-1,-1-1 1,1 0-1,-1 1 1,0-1-1,1 0 0,-1 0 1,0 1-1,0-1 1,0 0-1,0 0 1,0 0-1,-2 1 1,-2 0 17,1-1 0,-1 0 0,0-1 1,0 1-1,0-1 0,0 1 0,-7-2 1,5 1-34,6 0-78,1-1 19,1 0 0,-1 0 0,1 0 0,0 0 1,-1 0-1,1 0 0,0 0 0,0 0 0,0 1 0,0-1 1,-1 0-1,1 1 0,0-1 0,0 0 0,0 1 1,0-1-1,0 1 0,1 0 0,-1-1 0,0 1 0,1-1 1,36-9-408,-21 6 23,37-12-1812,-42 14 1954,-1-1 0,1-1 0,0 0 0,-1 0 0,0-1-1,0 0 1,0-1 0,-1 0 0,1-1 0,16-14 0,17-21-457,-39 35 4930,-14 6-344,0 1-4551,2 0 823,0 1-1,0-1 0,0 1 1,0 0-1,0 0 0,0 1 1,0 0-1,-11 5 0,8 2-55,14-3 26,8-1-5,-11-5-44,23 9-9,-1 1-1,37 21 1,-55-28-15,1 0-1,-1 1 1,0 0-1,0 0 0,-1 0 1,1 0-1,-1 1 1,0 0-1,0-1 1,0 2-1,-1-1 1,0 0-1,0 1 1,0-1-1,-1 1 1,3 10-1,-4-13 19,0 0-1,-1 0 1,1 0 0,-1 0-1,0 0 1,0 0 0,0 1-1,0-1 1,-1 0 0,0 3-1,0-5 9,1 0 0,-1 0 0,0 0 0,1 0 0,-1 0 0,0 0 0,0 0 0,0 0 0,0 0 0,0 0 0,0-1-1,0 1 1,0 0 0,0-1 0,0 1 0,0-1 0,0 1 0,0-1 0,0 0 0,-1 1 0,1-1 0,0 0 0,0 0 0,0 0 0,-1 1 0,1-2-1,-2 1 1,-1 0 26,0 0 1,1-1-1,-1 0 0,0 1 0,1-1 0,-1 0 0,1-1 1,-1 1-1,1-1 0,0 0 0,-1 1 0,1-1 0,-5-5 1,-34-37 225,36 37-287,4 6-26,1 0 0,1 0 0,-1 0 0,0 0-1,0-1 1,0 1 0,0 0 0,1 0 0,-1 0 0,1-1 0,-1 1 0,1 0 0,-1-1-1,1 1 1,0-1 0,-1 1 0,1 0 0,0-1 0,0 1 0,0-2 0,1 2-70,-1 0 1,1 0-1,-1 0 1,1 0-1,0 0 1,-1 0-1,1 0 1,0 1-1,0-1 0,0 0 1,-1 1-1,1-1 1,0 0-1,0 1 1,0-1-1,0 1 1,0-1-1,0 1 1,2-1-1,5-1-526,1 1-1,0-1 1,-1 2 0,15-1-1,-22 1 682,38 0-3140,-2 0-2748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6:32.3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10 5801,'0'0'9186,"15"0"-9186,-10 0 0,5 0-56,-5 0 112,0 0 16,5 0-72,0-2 48,5 2-48,5-3-1393,1 1-695,-1-1-4441</inkml:trace>
  <inkml:trace contextRef="#ctx0" brushRef="#br0" timeOffset="553.83">61 102 7937,'0'0'9330,"20"-3"-9322,-10 3-8,11-2-736,-1-1-1809,0 1-8945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7:28.7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109 0 9498,'0'0'7254,"0"5"-6799,-2-1-405,1 1 1,0-1-1,-1 0 1,0 0-1,0 1 1,0-1-1,-1 0 1,0-1-1,1 1 1,-5 4-1,-40 36 136,14-14-90,33-30-95,0 1 0,0-1 0,0 0 1,-1 0-1,1 0 0,0 0 0,0 0 0,0 1 0,0-1 0,0 0 0,0 0 0,0 0 0,0 0 0,0 0 0,0 1 0,-1-1 0,1 0 0,0 0 0,0 0 0,0 1 0,0-1 0,0 0 1,0 0-1,0 0 0,0 0 0,0 1 0,1-1 0,-1 0 0,0 0 0,0 0 0,0 0 0,0 1 0,0-1 0,0 0 0,0 0 0,0 0 0,0 0 0,0 0 0,1 1 0,-1-1 0,0 0 0,0 0 1,0 0-1,0 0 0,0 0 0,1 0 0,-1 0 0,0 0 0,0 0 0,0 1 0,0-1 0,1 0 0,-1 0 0,0 0 0,0 0 0,0 0 0,0 0 0,1 0 0,-1 0 0,0 0 0,0 0 1,23 1 98,24-5-36,11-6-2690,-47 8-3630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7:29.0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0 512,'0'0'16155,"34"32"-15947,-29-17 8,0 2-208,0 5 160,5 1-168,-6-1 0,1 3-480,5-1-736,-5-4-1065,0-5-2136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7:29.6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50 9329,'0'0'8087,"6"-7"-8052,22-22-27,-27 28-9,0 0 1,0 0-1,0 0 1,1-1-1,-1 2 1,0-1-1,1 0 1,-1 0-1,1 0 0,-1 0 1,1 1-1,-1-1 1,1 1-1,-1-1 1,1 1-1,-1 0 1,1 0-1,0-1 1,-1 1-1,1 0 0,-1 0 1,1 1-1,0-1 1,-1 0-1,1 0 1,1 2-1,-1-2-2,-1 1 0,0 0 0,0 0 0,0 0 0,0 0-1,0 0 1,0 0 0,0 0 0,0 0 0,0 1 0,0-1 0,0 0 0,-1 0 0,1 1 0,-1-1-1,1 0 1,-1 1 0,1-1 0,-1 1 0,0-1 0,0 1 0,0-1 0,0 3 0,0 8 2,-2 0 1,1-1 0,-2 1-1,0 0 1,0 0 0,-5 11-1,-5 16 74,13-39-59,0 1 0,0 0 0,0 0-1,0-1 1,0 1 0,0 0 0,0-1-1,1 1 1,-1 0 0,0-1 0,0 1 0,1-1-1,-1 1 1,0 0 0,1-1 0,-1 1-1,1-1 1,-1 1 0,0-1 0,1 1-1,-1-1 1,1 1 0,0-1 0,-1 1 0,1-1-1,-1 0 1,1 1 0,-1-1 0,1 0-1,0 0 1,-1 1 0,1-1 0,0 0-1,-1 0 1,1 0 0,0 0 0,-1 0-1,1 0 1,0 0 0,0 0 0,0 0 0,41-1-42,-31 1-279,3 0-825,7 0-1017,-8-3-2215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7:30.3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126 36 6305,'0'0'11355,"-11"-6"-10697,-36-19-64,46 24-573,-1 1 0,1-1 0,0 1 0,0-1 0,-1 1 0,1-1 0,-1 1 0,1 0 0,0-1 0,-1 1 0,1 0 0,-1 0 0,1 0 0,-1 0 0,1 0 0,0 1 0,-1-1 0,1 0 0,-1 1 0,1-1 0,0 1 0,-1-1 0,1 1 0,0 0 0,0-1 1,-2 3-1,0-1-22,1 0 1,0 1 0,0-1 0,0 1 0,1 0 0,-1 0 0,-2 5 0,2-4 21,1 0-11,-1-1-1,1 0 1,-1 1-1,1-1 1,0 1 0,1-1-1,-1 1 1,1-1 0,-1 1-1,1 0 1,0-1-1,0 1 1,2 6 0,-2-8-9,1-1-1,-1 1 1,1 0 0,0-1 0,0 1 0,0-1 0,0 0 0,0 1-1,0-1 1,0 0 0,0 0 0,0 1 0,0-1 0,1 0 0,-1 0-1,0 0 1,1 0 0,-1-1 0,1 1 0,-1 0 0,1-1 0,0 1-1,-1-1 1,1 1 0,0-1 0,-1 0 0,1 1 0,0-1 0,-1 0 0,4-1-1,-2 2 12,1-1-1,-1-1 0,1 1 0,0 0 0,-1-1 1,1 0-1,-1 0 0,1 0 0,-1 0 0,1-1 1,-1 1-1,4-3 0,-1-1 20,-1 0 0,0 0-1,0 0 1,8-11 0,-9 11-35,-3 4-2,-1 1-1,0-1 1,1 1-1,-1-1 1,0 1-1,1-1 1,-1 1-1,1 0 1,-1-1-1,1 1 1,-1 0-1,1 0 1,-1-1-1,1 1 1,-1 0-1,1 0 0,-1 0 1,1-1-1,-1 1 1,1 0-1,-1 0 1,1 0-1,-1 0 1,1 0-1,0 0 1,-1 0-1,1 0 1,-1 0-1,1 1 1,-1-1-1,1 0 1,-1 0-1,1 0 1,-1 1-1,1-1 1,-1 0-1,1 0 1,-1 1-1,1-1 0,-1 0 1,1 1-1,-1-1 1,0 1-1,1-1 1,-1 1-1,1 0 1,13 22 37,-12-19-64,2 6 1,0 0 0,0 0 0,-1 1-1,3 19 1,7 22-2953,-8-34 649,-5-4-1445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7:30.5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7721,'0'0'6786,"0"2"-7675,5 3-1487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7:31.4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 13 3992,'0'0'12783,"-1"-3"-11911,1 2-837,0 1-1,0 0 1,-1-1 0,1 1-1,0-1 1,0 1 0,0-1 0,0 1-1,-1 0 1,1-1 0,0 1-1,0 0 1,-1-1 0,1 1-1,0 0 1,-1-1 0,1 1-1,0 0 1,-1 0 0,1-1 0,-1 1-1,1 0 1,0 0 0,-1 0-1,1-1 1,-1 1 0,1 0-1,-1 0 1,1 0 0,0 0 0,-1 0-1,1 0 1,-1 0 0,1 0-1,-1 0 1,1 0 0,-1 0-1,1 0 1,0 0 0,-1 1-1,1-1 1,-1 0 0,1 0 0,-1 0-1,1 0 1,0 1 0,-1-1-1,1 0 1,0 1 0,-1-1-1,1 0 1,0 1 0,-1-1-1,1 1 1,-3 3 157,0-1-1,1 1 0,0 0 1,-1 1-1,2-1 0,-3 5 1,0 4-25,0 1 0,1-1 0,0 1 0,-1 21 0,3-27-162,1 1-1,0-1 1,1 0 0,-1 0-1,2 1 1,-1-1 0,1 0-1,6 15 1,-7-20-51,1 0 0,0-1 1,0 1-1,0 0 0,1-1 0,-1 1 0,0-1 0,1 0 1,0 1-1,0-1 0,-1-1 0,1 1 0,0 0 0,1-1 1,-1 1-1,0-1 0,0 0 0,1 0 0,-1 0 1,0-1-1,5 1 0,-6 0 41,1-1 0,0 0-1,0 0 1,0 0 0,0 0 0,0 0 0,0-1 0,0 0-1,0 1 1,0-1 0,0 0 0,0 0 0,-1 0 0,1-1-1,0 1 1,-1-1 0,1 1 0,-1-1 0,0 0 0,1 0-1,-1 0 1,0 0 0,3-5 0,-3 5 3,-1 0 0,1 0-1,-1 0 1,0 0 0,0 0 0,0-1-1,0 1 1,0 0 0,-1-1 0,1 1 0,-1 0-1,1-1 1,-1 1 0,0-1 0,0 1-1,0-4 1,-1 5 15,0 0 0,0 0 0,0 0-1,0-1 1,0 1 0,0 0 0,-1 0-1,1 1 1,0-1 0,0 0 0,-1 0-1,1 1 1,-1-1 0,1 0 0,-1 1-1,1 0 1,0-1 0,-1 1 0,0 0-1,1 0 1,-1 0 0,1 0 0,-1 0-1,1 0 1,-1 0 0,-1 1 0,-1-1 25,0 0 1,1 1 0,-1-1-1,0 1 1,0 0 0,1 0 0,-7 3-1,-5 8-1802,14-12 1303,0 1-1,1 0 0,-1 0 0,0 0 1,1 0-1,-1 0 0,1 0 0,0 0 1,-1 0-1,1 0 0,0 0 0,0 0 1,-1 0-1,1 2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7:32.1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4424,'0'0'1305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7:38.2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2472,'0'0'12879,"0"14"-10943,1 31-636,10 67-1,11-10-5757,-16-87 301,3-4-2914</inkml:trace>
  <inkml:trace contextRef="#ctx0" brushRef="#br0" timeOffset="1096.25">89 40 9690,'0'0'5792,"2"12"-5635,39 128-133,-26-90-277,-11-35 237,0 1-314,-2-30 225,-2-77 2317,0 90-2208,0 1 1,0-1-1,0 0 1,0 0-1,1 1 1,-1-1-1,0 0 0,0 0 1,1 1-1,-1-1 1,0 0-1,1 1 1,-1-1-1,1 0 0,-1 1 1,1-1-1,-1 1 1,1-1-1,-1 1 1,1-1-1,0 1 0,-1-1 1,1 1-1,0 0 1,-1-1-1,1 1 0,0 0 1,0-1-1,-1 1 1,1 0-1,0 0 1,0 0-1,-1 0 0,1 0 1,0 0-1,0 0 1,-1 0-1,1 0 1,0 0-1,0 0 0,-1 0 1,1 0-1,0 1 1,0-1-1,-1 0 1,1 1-1,1 0 0,1 0-11,1 0 0,-1 0 0,0 1-1,0-1 1,1 1 0,-1 0 0,-1 0-1,1 0 1,4 4 0,-3 0-49,1 1 0,-1 1 1,-1-1-1,1 0 0,-1 1 0,-1 0 1,1 0-1,-1 0 0,-1 0 0,1 0 0,0 16 1,-3-23 56,1-1 1,0 1 0,0-1-1,-1 1 1,1-1-1,0 0 1,-1 1 0,1-1-1,0 1 1,-1-1-1,1 0 1,-1 1 0,1-1-1,-1 0 1,1 0-1,-1 1 1,1-1 0,0 0-1,-1 0 1,1 0 0,-1 0-1,0 1 1,1-1-1,-1 0 1,1 0 0,-1 0-1,1 0 1,-1 0-1,1 0 1,-1 0 0,1-1-1,-1 1 1,1 0 0,-1 0-1,1 0 1,-1 0-1,1-1 1,-1 1 0,1 0-1,-1 0 1,1-1-1,-1 0 1,-23-10 243,22 9-214,-1 0 0,1 0 1,0 0-1,0-1 0,-1 1 0,2-1 0,-1 0 0,0 1 0,0-1 0,1 0 0,-1 0 0,1 0 0,0 0 0,0 0 0,0 0 0,1 0 0,-1-1 1,1 1-1,-1-4 0,5 6-41,0-1 1,0 1-1,1-1 0,-1 1 1,0 0-1,0 0 1,1 1-1,8-1 0,-11 1 13,11-1-21,15-2-264,0 0 1,28-9-1,-50 11 235,1-1-1,-1 0 0,0-1 1,1 1-1,-1-1 1,-1-1-1,1 1 1,0-1-1,-1 0 0,0 0 1,0 0-1,0-1 1,0 0-1,5-6 1,-10 10 54,1 1 1,-1-1 0,1 1 0,-1-1-1,1 0 1,-1 1 0,1-1 0,-1 1-1,0-1 1,1 0 0,-1 1 0,0-1-1,0 0 1,1 0 0,-1 1 0,0-1-1,0 0 1,0 0 0,0 1 0,0-1-1,0 0 1,0 0 0,0 1 0,0-1-1,0 0 1,-1 1 0,1-1 0,0 0-1,0 0 1,-1 1 0,0-2 0,0 1 26,0 1 0,0-1 1,-1 1-1,1-1 0,0 1 1,-1 0-1,1 0 0,0-1 1,-1 1-1,1 0 0,0 0 1,-1 0-1,1 0 0,0 1 1,-3-1-1,-2 1 71,0 0-1,0 1 1,0 0 0,0 0-1,1 0 1,-1 1 0,-6 3-1,12-6-102,-1 0-1,1 0 1,-1 1-1,1-1 0,-1 0 1,1 0-1,-1 1 0,1-1 1,-1 0-1,1 1 1,-1-1-1,1 1 0,0-1 1,-1 0-1,1 1 1,0-1-1,-1 1 0,1-1 1,0 1-1,0-1 1,-1 1-1,1 0 0,0-1 1,0 1-1,0-1 1,0 1-1,0-1 0,0 1 1,0 0-1,0-1 1,0 1-1,0-1 0,0 1 1,0-1-1,0 1 0,0 0 1,1 0-1,20 7 77,0-2-39,-14-3-47,-1 0 0,1 1 0,-1-1 0,0 2 1,0-1-1,0 1 0,6 6 0,-9-8-17,0 0 0,-1 0 0,0 0 0,0 0 0,0 0 0,0 1-1,0-1 1,0 0 0,-1 1 0,0 0 0,0-1 0,0 1 0,0 0 0,0 0 0,0 5 0,-1-9 28,-1 1 1,1-1-1,0 1 1,0 0 0,0-1-1,0 1 1,-1-1-1,1 1 1,0-1 0,-1 1-1,1-1 1,0 1-1,-1-1 1,1 1-1,-1-1 1,1 0 0,0 1-1,-1-1 1,1 0-1,-1 1 1,1-1 0,-1 0-1,0 1 1,1-1-1,-1 0 1,1 0 0,-1 0-1,1 0 1,-1 0-1,0 1 1,1-1-1,-1 0 1,1 0 0,-1 0-1,0-1 1,1 1-1,-1 0 1,1 0 0,-1 0-1,1 0 1,-2-1-1,1 1 24,-1 0-1,0-1 0,1 1 1,-1-1-1,1 1 0,-1-1 1,1 0-1,-1 1 0,1-1 1,-1 0-1,1 0 0,0 0 1,-1 0-1,1 0 0,-1-2 1,1 2-77,0 0 0,1 1 0,-1-1 1,0 0-1,1 0 0,-1 0 0,1 0 1,-1 0-1,1 0 0,0 0 0,-1-1 0,1 1 1,0 0-1,0 0 0,0 0 0,0 0 1,0 0-1,0 0 0,0-1 0,0 1 1,0 0-1,1-2 0,1 2-247,-1-1 0,1 1 0,0 0 1,-1 0-1,1 0 0,0 0 0,0 1 0,0-1 0,0 0 0,-1 1 0,4-1 1,1-1-189,18-5-3895,-4 2-1798</inkml:trace>
  <inkml:trace contextRef="#ctx0" brushRef="#br0" timeOffset="1294.85">679 153 7329,'0'0'10930,"68"-2"-11626,-48-1-2096,-1-1-6890</inkml:trace>
  <inkml:trace contextRef="#ctx0" brushRef="#br0" timeOffset="1605.41">879 102 10114,'0'0'7577,"24"61"-7377,-14-41-192,-5 0 64,5-3-72,-1 0-760,6 1-2240,-5-6-65,0-7-5313</inkml:trace>
  <inkml:trace contextRef="#ctx0" brushRef="#br0" timeOffset="2005.08">1011 156 5761,'0'0'6629,"3"11"-5818,32 101-118,-31-136 109,-2-18 1257,-2 3 1003,0 38-3053,0 1 0,0-1 0,1 1 0,-1 0 0,0-1 0,1 1-1,-1 0 1,1 0 0,-1-1 0,0 1 0,1 0 0,-1 0 0,1 0-1,-1-1 1,1 1 0,-1 0 0,1 0 0,-1 0 0,1 0 0,-1 0 0,0 0-1,1 0 1,-1 0 0,1 0 0,-1 0 0,1 0 0,-1 0 0,1 0-1,-1 0 1,1 1 0,-1-1 0,1 0 0,-1 0 0,1 1 0,19 7 50,-9 3-337,0 1 1,-1 0-1,-1 1 1,1 0 0,11 24-1,-8-15-2404,-7-7-1228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06.6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5417,'0'0'7951,"13"6"-6008,-12-5-1801,0 1-1,0-1 1,0 1-1,0-1 1,0 1-1,0 0 1,0-1-1,0 1 1,-1 0 0,1 0-1,-1 0 1,0-1-1,1 1 1,-1 0-1,0 2 1,1 35 871,-2-29-796,1 11-45,-1-1-164,1-1 0,1 0 0,1 1 0,0-1-1,9 30 1,-11-47-59,1 0-1,0-1 0,-1 1 0,1 0 1,0-1-1,0 1 0,0-1 0,0 1 0,0-1 1,0 0-1,2 2 0,-2-3-1,-1 1-1,1-1 0,-1 0 1,1 1-1,-1-1 1,1 0-1,0 0 1,-1 0-1,1 1 0,-1-1 1,1 0-1,0 0 1,-1 0-1,1 0 0,0 0 1,-1 0-1,1 0 1,0 0-1,-1-1 1,1 1-1,0 0 0,3-2-448,-1 0-1,0 0 0,0-1 0,1 1 0,-1-1 0,-1 0 0,6-5 0,-1 0-1006,3 0-2439</inkml:trace>
  <inkml:trace contextRef="#ctx0" brushRef="#br0" timeOffset="550.4">250 146 6025,'0'0'10166,"-2"-4"-9718,2 4-445,0 0 1,0-1-1,0 1 1,0-1-1,0 1 0,0 0 1,0-1-1,0 1 1,-1 0-1,1-1 1,0 1-1,0 0 0,0-1 1,0 1-1,-1 0 1,1-1-1,0 1 0,0 0 1,-1-1-1,1 1 1,0 0-1,-1 0 1,1 0-1,0-1 0,-1 1 1,1 0-1,0 0 1,-1 0-1,1 0 0,0-1 1,-1 1-1,1 0 1,0 0-1,-1 0 0,1 0 1,-1 0-1,1 0 1,0 0-1,-1 0 1,1 0-1,0 0 0,-1 0 1,1 0-1,-1 1 1,1-1-1,0 0 0,-1 0 1,1 1-1,-11 22 176,3 41 20,8-64-206,0 1-1,0 0 0,0 0 1,0 0-1,0-1 0,0 1 1,1 0-1,-1 0 0,0-1 1,1 1-1,-1 0 0,0 0 1,1-1-1,-1 1 0,1-1 1,-1 1-1,1 0 0,0-1 1,-1 1-1,1-1 0,0 1 1,-1-1-1,1 1 0,0-1 1,-1 0-1,1 1 0,0-1 1,0 0-1,-1 0 0,1 1 1,0-1-1,0 0 0,0 0 1,-1 0-1,1 0 0,0 0 1,0 0-1,0 0 0,0-1 1,1 1-13,0 0 1,-1 0-1,1 0 1,0-1-1,-1 1 1,1-1-1,0 1 1,-1-1-1,1 0 1,-1 1-1,1-1 1,-1 0-1,1 0 1,-1 0-1,0 0 1,1 0-1,-1-1 1,1 0-1,0-1 24,-1 1 0,1 0 0,-1-1 0,0 1 1,0 0-1,0-1 0,-1 0 0,1 1 0,0-1 0,-1 1 0,0-1 0,1 0 1,-1 1-1,0-1 0,-1 0 0,1 1 0,0-1 0,-2-3 0,2 5-110,-1-1 1,0 1-1,0-1 0,0 1 0,0-1 0,0 1 0,-1 0 1,1 0-1,0 0 0,-1-1 0,1 1 0,0 0 0,-1 1 0,1-1 1,-1 0-1,0 0 0,1 1 0,-1-1 0,0 1 0,1-1 1,-1 1-1,0 0 0,1-1 0,-1 1 0,0 0 0,-3 1 0,-1-1-2764</inkml:trace>
  <inkml:trace contextRef="#ctx0" brushRef="#br0" timeOffset="1099.57">386 180 6849,'0'0'8951,"0"-8"-8203,-1-25-41,-3 22 977,-4 15-1114,-3 12-547,9-12-34,1 0 0,-1 0-1,1 0 1,0 0 0,0 0 0,0 0 0,1 0 0,0 0-1,0 8 1,0-11-21,0 0-1,0 0 1,0 0-1,0 0 1,1 0 0,-1 0-1,0 0 1,0-1-1,1 1 1,-1 0-1,1 0 1,-1 0-1,1 0 1,-1 0 0,1 0-1,0-1 1,-1 1-1,1 0 1,0-1-1,0 1 1,0 0-1,-1-1 1,1 1 0,0-1-1,0 1 1,0-1-1,0 1 1,0-1-1,0 0 1,0 0 0,0 1-1,0-1 1,0 0-1,0 0 1,0 0-1,0 0 1,0 0-1,0 0 1,0 0 0,0 0-1,0-1 1,0 1-1,0 0 1,1-1-1,-1 0 27,0 1-1,0-1 0,0 1 1,0-1-1,0 0 0,0 1 1,-1-1-1,1 0 0,0 0 1,0 0-1,-1 1 0,1-1 1,-1 0-1,1 0 0,0 0 1,-1 0-1,0 0 0,1 0 0,-1 0 1,1-1-1,5-29-213,-2 11 130,-3 20 88,-1 0 0,0 0 1,0-1-1,0 1 0,0 0 1,0 0-1,0-1 0,0 1 1,1 0-1,-1 0 0,0 0 1,0-1-1,0 1 0,1 0 1,-1 0-1,0 0 0,0-1 1,0 1-1,1 0 0,-1 0 1,0 0-1,0 0 0,1 0 1,-1 0-1,0 0 0,0 0 1,1-1-1,-1 1 0,0 0 1,1 0-1,-1 0 0,0 0 1,0 0-1,1 0 0,-1 1 1,0-1-1,0 0 0,1 0 1,-1 0-1,0 0 0,0 0 1,1 0-1,-1 0 0,0 0 1,0 1-1,1-1 0,-1 0 1,0 0-1,0 0 0,0 1 1,1-1-1,-1 0 0,0 1 1,14 16-193,-7-8 68,12 5-1665,-2-11-4286,-8-3-155</inkml:trace>
  <inkml:trace contextRef="#ctx0" brushRef="#br0" timeOffset="1591.74">562 42 4705,'0'0'6941,"1"3"-6472,86 149-354,-85-151-98,-7-10 419,5 8-336,-1 0 0,0 0 0,0-1-1,0 1 1,0 0 0,0 0-1,0 0 1,0 0 0,0 1 0,-1-1-1,1 0 1,0 0 0,-1 1-1,1-1 1,0 1 0,-1-1 0,1 1-1,0-1 1,-1 1 0,-2 0 0,2 0-21,0 0 1,-1 0-1,1 0 1,0 1 0,0-1-1,-1 1 1,1 0 0,0 0-1,0-1 1,0 1 0,0 1-1,0-1 1,0 0 0,0 0-1,0 1 1,0-1 0,0 1-1,1 0 1,-1-1 0,1 1-1,-1 0 1,1 0 0,0 0-1,0 0 1,-1 0 0,2 0-1,-1 0 1,0 0-1,0 1 1,1-1 0,-1 0-1,1 1 1,-1-1 0,1 0-1,0 1 1,0-1 0,1 4-1,-1-5-77,0 0-1,1 0 0,-1 0 1,1 0-1,-1 0 0,1 0 1,0 0-1,-1 0 0,1 0 1,0-1-1,0 1 0,0 0 1,-1 0-1,1-1 0,0 1 1,0 0-1,0-1 0,0 1 1,0-1-1,0 1 0,0-1 1,0 0-1,0 0 0,0 1 1,1-1-1,-1 0 0,0 0 1,0 0-1,2 0 0,39 2-1997,-36-2 1246,41-2-6146,-23-1 1942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10.1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31 145 7633,'0'0'9903,"-1"-2"-9257,1 1-626,0 1 1,-1 0 0,1-1 0,0 1 0,0-1 0,0 1-1,0 0 1,-1-1 0,1 1 0,0 0 0,0-1-1,-1 1 1,1 0 0,0 0 0,0-1 0,-1 1 0,1 0-1,0 0 1,-1 0 0,1-1 0,-1 1 0,1 0-1,0 0 1,-1 0 0,1 0 0,0 0 0,-1 0-1,1 0 1,-1 0 0,1-1 0,0 2 0,-1-1 0,1 0-1,-1 0 1,1 0 0,0 0 0,-1 0 0,1 0-1,0 0 1,-1 0 0,1 0 0,-1 1 0,1-1-1,0 0 1,-1 0 0,1 1 0,0-1 0,0 0 0,-1 0-1,1 1 1,-1-1 0,0 3 100,0-1 0,-1 1 1,1 0-1,0-1 0,0 1 0,0 0 0,0 0 0,0 4 1,0-4-105,1 0 0,-1 1 0,1-1 0,0 0 0,0 1 1,0-1-1,0 1 0,1-1 0,-1 0 0,1 1 0,0-1 0,0 0 1,0 0-1,0 0 0,3 5 0,-2-6-14,-1-1 0,0 1 1,1-1-1,-1 0 0,1 0 0,-1 0 0,1 0 0,0 0 1,-1 0-1,1 0 0,0 0 0,0-1 0,0 1 1,-1 0-1,1-1 0,0 0 0,0 1 0,0-1 1,0 0-1,0 0 0,0 0 0,0 0 0,0-1 0,0 1 1,-1 0-1,1-1 0,0 1 0,3-2 0,-3 0-14,0 1-1,0 0 1,0-1-1,0 0 1,0 1-1,0-1 1,-1 0-1,1 0 1,-1 0-1,1 0 0,-1 0 1,0 0-1,0-1 1,1 1-1,-2 0 1,1-1-1,0 1 1,0-1-1,0-3 1,0 3-16,-1 0 1,1 0-1,-1 0 1,1 0 0,-1 0-1,0 0 1,0 0-1,0 0 1,0 0-1,-1 0 1,1 0 0,-1 0-1,0 0 1,0 0-1,-2-5 1,3 8-68,0 0 0,-1-1 1,1 1-1,0-1 0,0 1 0,-1-1 0,1 1 1,0 0-1,-1-1 0,1 1 0,-1 0 1,1-1-1,0 1 0,-1 0 0,1 0 0,-1-1 1,1 1-1,-1 0 0,1 0 0,-1 0 0,1-1 1,0 1-1,-1 0 0,1 0 0,-1 0 0,1 0 1,-1 0-1,1 0 0,-1 0 0,1 0 1,-1 0-1,1 0 0,-1 1 0,1-1 0,-1 0 1,1 0-1,-1 0 0,1 1 0,-1-1 0,1 0 1,-1 0-1,1 1 0,0-1 0,-1 0 0,1 1 1,0-1-1,-1 0 0,1 1 0,0-1 0,-1 1 1,1-1-1,0 1 0,-2 1-389,1 1 1,0-1-1,0 0 0,1 1 0,-1-1 1,0 0-1,1 1 0,-1-1 1,1 3-1,0-2 247,1 0 0,0 0 1,0 0-1,1 0 0,-1-1 1,0 1-1,1 0 0,0-1 0,-1 1 1,1-1-1,0 0 0,0 1 1,1-1-1,-1 0 0,0 0 1,1-1-1,-1 1 0,1 0 0,-1-1 1,1 1-1,3 0 0,9 6-708,1-2 0,21 8 0,-17-9-738,2-3 4652,-21-2-2722,0 0-1,1 0 1,-1 0 0,0 0-1,0 0 1,0-1-1,0 1 1,0 0 0,-1 0-1,1-1 1,0 1-1,0-1 1,0 1 0,0-1-1,0 1 1,0-1-1,0 1 1,-1-1 0,1 0-1,0 1 1,-1-1-1,1 0 1,0 0-1,-1 0 1,1 1 0,-1-1-1,1 0 1,-1 0-1,1 0 1,-1 0 0,0 0-1,1 0 1,-1 0-1,0 0 1,0 0 0,0 0-1,0-1 1,-1-10 729,0 0 1,-1 1-1,0 0 1,-1-1-1,0 1 1,-8-19-1,-8-26-17,18 48-927,0 1 0,0-1 0,1 1 0,1-11 0,-1-1-102,1 19 41,0-1 1,0 0-1,-1 1 1,1-1-1,0 1 1,0-1-1,0 1 1,0-1-1,0 1 1,0-1 0,-1 1-1,1 0 1,0 0-1,0-1 1,0 1-1,0 0 1,0 0-1,0 0 1,0 0-1,0 0 1,0 0-1,0 0 1,0 1-1,0-1 1,2 1-1,30 6-1347,-28-4 1009,0 0-1,0 1 1,-1 0 0,0 0-1,1 0 1,-1 1 0,0-1-1,-1 1 1,1 0-1,-1 0 1,4 9 0,-2-5-800,10 14-3772</inkml:trace>
  <inkml:trace contextRef="#ctx0" brushRef="#br0" timeOffset="191.13">178 199 6905,'0'0'9034,"97"-39"-9138,-72 39-1745,-6 0-4088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11.6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0 360,'0'0'14723,"20"72"-14595,-16-48-120,1 4-16,-5-4-232,5 1-320,5 5-953,-5-6-863,0-7-4114</inkml:trace>
  <inkml:trace contextRef="#ctx0" brushRef="#br0" timeOffset="478.08">117 222 6961,'0'0'7290,"14"0"-7065,42-3-41,-54 3-166,0-1 1,-1 1-1,1 0 0,0-1 0,0 0 0,-1 1 0,1-1 0,0 0 1,-1 0-1,1 0 0,-1 0 0,1 0 0,-1 0 0,1 0 0,-1-1 1,0 1-1,0 0 0,1-1 0,-1 1 0,0-1 0,0 1 0,-1-1 0,1 0 1,0 1-1,0-1 0,0-3 0,0 2 81,-1-1 0,1 1 0,-1 0 0,1 0 0,-1 0 1,0-1-1,0 1 0,-1 0 0,1 0 0,-1-1 0,0-2 0,0 5-64,0 0 0,0 0 0,0 1 0,0-1 0,0 0-1,0 1 1,0-1 0,-1 1 0,1-1 0,0 1 0,0 0 0,0-1 0,-1 1 0,1 0 0,0 0 0,0 0-1,0 0 1,-1 0 0,1 0 0,0 0 0,0 0 0,-1 0 0,1 1 0,-1-1 0,-2 1-16,1 0-1,0-1 1,-1 1 0,1 0 0,0 0 0,0 1 0,-1-1 0,-2 3 0,4-3-13,1 0 0,-1 0 1,1 0-1,-1 1 0,1-1 1,0 1-1,-1-1 0,1 1 1,0 0-1,0-1 0,0 1 1,0 0-1,0 0 0,1-1 1,-1 1-1,0 0 0,1 0 1,0 0-1,-1 0 0,1 0 1,0 0-1,0 0 0,0 0 1,0 0-1,0 0 0,1 0 1,-1 0-1,0 0 1,1 0-1,0 0 0,-1-1 1,1 1-1,0 0 0,2 2 1,-1 0-49,1-1 0,0 0 1,0 0-1,0 0 0,1-1 1,-1 1-1,1-1 1,-1 0-1,1 0 0,0 0 1,0 0-1,0-1 1,0 1-1,0-1 0,7 1 1,1 0-946,1-1 0,0 0 0,-1-1 0,20-2 0,-8-2-3031</inkml:trace>
  <inkml:trace contextRef="#ctx0" brushRef="#br0" timeOffset="1035.66">385 207 1632,'0'0'11090,"-4"-6"-9806,-13-18-358,16 23-884,0 0 0,0 0 0,0 0 0,0 0 0,0 1 0,-1-1-1,1 1 1,0-1 0,0 1 0,-1-1 0,1 1 0,0-1 0,-1 1 0,1 0-1,-1 0 1,1 0 0,0 0 0,-1 0 0,1 0 0,-1 0 0,1 0 0,0 1-1,-1-1 1,1 1 0,0-1 0,0 1 0,-1-1 0,1 1 0,0-1 0,0 1-1,0 0 1,-1 0 0,1 0 0,0 0 0,0 0 0,-1 1 0,2-1-63,0 0 0,0 0 1,0 0-1,0 0 0,0 0 1,0 0-1,1 0 0,-1 0 1,0 0-1,1-1 0,-1 1 0,0 0 1,1 0-1,-1 0 0,1 0 1,-1-1-1,1 1 0,-1 0 1,1 0-1,0-1 0,-1 1 1,1-1-1,0 1 0,0 0 1,0-1-1,-1 1 0,1-1 1,0 0-1,0 1 0,1-1 0,32 2-1406,-21-2 590,-13 0 811,1 0 1,0 0-1,-1 0 1,1 0-1,-1 0 1,1 0-1,0 0 1,-1 0 0,1 0-1,-1-1 1,1 1-1,0 0 1,-1 0-1,1-1 1,-1 1 0,1 0-1,-1-1 1,1 1-1,-1 0 1,1-1-1,-1 1 1,1-1 0,-1 1-1,0-1 1,1 1-1,-1-1 1,0 1-1,1-1 1,-1 1-1,0-1 1,0 1 0,1-1-1,-1 0 1,1-1 747,2 9-345,-1-3-416,63 114 384,-50-94-516,0 1 0,-1 1 0,-1 0 0,-2 1 0,10 34 0,-16-26 1279,-25-57 1042,16 17-2033,1 1-1,0-1 1,0 0-1,0 0 0,1-1 1,0 1-1,0 0 0,0-1 1,1 1-1,-1-1 1,2 0-1,-1 1 0,0-1 1,1 0-1,0 0 1,1-6-1,1 10-152,0 0 0,0 0-1,0 1 1,0-1 0,0 1 0,1 0-1,-1 0 1,0 0 0,1 0 0,-1 0 0,1 0-1,-1 0 1,1 1 0,-1-1 0,5 1-1,1-2-143,121-20-6873,-88 14-1629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29.0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0 106 3928,'3'-1'13024,"3"3"-12284,2 19-692,0 0-1,16 29 1,-24-49-65,1 0 1,-1 0-1,0-1 1,1 1-1,-1 0 1,1-1-1,-1 1 1,1 0-1,-1-1 1,1 1-1,-1-1 0,1 1 1,0-1-1,-1 1 1,1-1-1,0 0 1,-1 1-1,1-1 1,0 0-1,0 1 0,-1-1 1,1 0-1,0 0 1,0 0-1,0 0 1,-1 0-1,1 0 1,0 0-1,0 0 0,-1 0 1,1 0-1,0 0 1,0 0-1,0 0 1,-1-1-1,2 1 1,0-1-23,-1 0 1,0 0-1,1 0 1,-1 0 0,0-1-1,1 1 1,-1 0-1,0 0 1,0-1 0,0 1-1,0-1 1,0 1 0,0-1-1,0 1 1,0-3-1,9-57-69,-10 63 126,1-1-1,-1 1 1,1 0-1,-1-1 1,1 1-1,0-1 0,0 1 1,0-1-1,0 1 1,0-1-1,0 0 1,0 1-1,1-1 1,-1 0-1,0 0 0,1 0 1,-1 0-1,1 0 1,-1 0-1,1 0 1,-1 0-1,1-1 0,-1 1 1,1-1-1,0 1 1,0-1-1,-1 0 1,1 1-1,0-1 1,0 0-1,-1 0 0,1 0 1,2-1-1,-2 1-11,0 1 1,-1-1-1,1 0 0,0 0 0,0 0 0,-1-1 0,1 1 0,0 0 0,-1-1 0,1 1 0,0-1 1,-1 1-1,1-1 0,0 0 0,-1 0 0,1 0 0,-1 0 0,0 0 0,1 0 0,-1 0 1,0 0-1,1-1 0,-1 1 0,0 0 0,0-1 0,0 1 0,0-1 0,-1 1 0,1-1 0,0 1 1,0-1-1,-1 0 0,1 1 0,-1-4 0,3-11-2157,4 8-4720</inkml:trace>
  <inkml:trace contextRef="#ctx0" brushRef="#br0" timeOffset="191.66">386 0 5857,'0'0'8234,"-5"86"-7770,-10-51-344,5 2 80,1 0-200,-6 2-168,-4 13-881,4-10-991,5-5-3521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1.1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0 100 6705,'0'0'8391,"3"2"-8285,2 4-86,0 1 0,-1-1 1,1 1-1,-1 0 0,-1 0 1,1 1-1,-1-1 0,0 1 1,-1-1-1,3 16 0,7 17 59,-2-3-826,-7-25-342,-6-31 1075,0 7 285,-1 1-1,0 0 1,0 0-1,-9-15 1,-11-31 270,20 39-456,1-1 0,1 0-1,0 0 1,2-23 0,0 37-79,0 4-9,1 0 0,-1 0 0,0 1 0,0-1 0,0 0 0,1 1 0,-1-1 0,0 0 0,1 1 0,-1-1 0,1 1 0,-1-1 0,1 0 0,-1 1 0,1-1 0,-1 1 0,1 0 0,0-1 0,-1 1 0,1-1 0,-1 1 0,1 0 0,0-1 0,-1 1 0,1 0 0,0 0 0,0 0 0,-1-1 0,1 1 0,0 0 0,0 0 0,-1 0 0,1 0 0,0 0 0,-1 0 0,1 1 0,0-1 0,0 0 0,0 1 0,2-1-33,0 0 1,0 1-1,0 0 1,-1-1-1,1 1 1,0 0-1,-1 0 1,1 1-1,3 1 1,-1 1-207,-1 1 0,1 0-1,-1 0 1,0 0 0,0 0 0,-1 1-1,0-1 1,4 9 0,-6-11 153,1 1 0,-1-1-1,0 1 1,0 0 0,0-1 0,0 1-1,-1 0 1,0 0 0,1-1 0,-1 1-1,-1 0 1,1 0 0,-1 0 0,1-1 0,-3 8-1,2-10 122,0 0-1,0-1 1,0 1-1,-1 0 1,1 0 0,0-1-1,0 1 1,-1 0-1,1-1 1,0 1-1,-1-1 1,1 0-1,0 1 1,-1-1-1,1 0 1,-1 0-1,1 0 1,0 0-1,-1 0 1,1 0-1,-3-1 1,3 1 3,0 0-1,0 0 1,0 0-1,-1 0 1,1 0-1,0 0 1,0-1-1,0 1 1,0 0-1,0 0 1,0-1-1,0 1 1,0-1-1,0 1 1,0-1-1,0 0 1,0 1-1,0-1 1,0 0-1,0 0 1,1 1-1,-1-1 1,0 0-1,0 0 1,1 0-1,-2-2 1,2 3-79,7 0-218,-3 1 214,28 3-571,36-1 1,-61-2 419,0-1-1,-1-1 1,1 1 0,-1-1 0,1 0 0,-1 0 0,1-1 0,-1 0 0,0 0 0,1-1-1,-1 0 1,9-5 0,-14 7 267,0 0-1,0 1 1,-1-1 0,1 0-1,0 0 1,-1 0 0,1 1-1,-1-1 1,1 0-1,-1 0 1,1 0 0,-1 0-1,0 0 1,1 0-1,-1 0 1,0 0 0,0 0-1,0 0 1,0 0 0,0 0-1,0 0 1,0 0-1,0 0 1,0 0 0,0 0-1,0 0 1,-1 0 0,1 0-1,0 0 1,-1 0-1,1 0 1,-2-1 0,2 1 48,-1-1 0,0 1 0,0 0 0,0 0 0,0 0 0,0 0 0,-1 0 0,1 0 0,0 0 0,0 0 0,-1 0 0,1 0 0,0 1 0,-1-1 0,1 1 0,-1-1 0,1 1 0,-1-1 0,1 1 0,-3 0 0,1 0-60,-1 0 1,1 0 0,0 0-1,0 1 1,0-1 0,0 1-1,0 0 1,0 0 0,0 0-1,0 0 1,-5 3 0,7-3-62,-1 0 0,1 0 1,0 1-1,0-1 0,0 0 1,0 0-1,1 0 0,-1 1 0,0-1 1,0 0-1,1 1 0,-1-1 1,1 1-1,-1-1 0,1 1 1,0-1-1,-1 1 0,1-1 0,0 1 1,0-1-1,0 1 0,0-1 1,0 1-1,1-1 0,-1 1 0,0-1 1,1 1-1,0 1 0,0-1 0,0-1 0,0 1-1,1 0 1,-1-1 0,0 1-1,1-1 1,-1 1 0,1-1-1,-1 0 1,1 1 0,0-1-1,0 0 1,0 0 0,-1 0 0,1-1-1,0 1 1,0 0 0,0-1-1,0 1 1,3-1 0,0 2-200,0-2 0,0 1 0,1 0 0,-1-1 0,0 0 1,0 0-1,9-2 0,2-5-1220,-15 6 888,1 0 0,-1 0 0,1 0-1,-1 1 1,1-1 0,-1 1 0,1-1 0,-1 1-1,1-1 1,0 1 0,-1 0 0,3 0 0,3 0-545,2 0-558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1.5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64 784,'0'0'6210,"4"5"-5970,0 1-77,-3-4-52,0 0 1,0 0-1,1 0 1,-1-1-1,0 1 0,1 0 1,-1-1-1,1 1 1,0-1-1,-1 0 1,5 3-1,-6-11 4493,-9-29-2375,7 33-2087,0 0 0,1 0 0,-1 0 1,1 0-1,0 0 0,0-1 0,0 1 0,1-1 1,-1-4-1,1 7-145,0 1 0,0-1 1,0 0-1,0 1 0,1-1 0,-1 0 1,0 1-1,0-1 0,1 1 1,-1-1-1,0 0 0,1 1 1,-1-1-1,1 1 0,-1-1 0,1 1 1,-1 0-1,1-1 0,-1 1 1,2-1-1,22-4-1139,4 5-1506,-8 0-2241,-5 0-1668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2.0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66 18 6209,'0'0'8627,"-9"-3"-8352,-24-10-147,32 13-119,1-1 1,-1 1-1,0 0 0,0 0 0,0 0 1,1 0-1,-1 0 0,0 0 0,0 0 1,0 0-1,1 0 0,-1 1 0,0-1 1,0 0-1,1 0 0,-1 1 0,0-1 1,1 0-1,-1 1 0,0-1 1,1 1-1,-1-1 0,0 1 0,1-1 1,-1 1-1,1 0 0,-1-1 0,1 1 1,-1-1-1,1 1 0,-1 0 0,1 0 1,0-1-1,0 1 0,-1 0 1,1 0-1,0-1 0,0 1 0,0 0 1,0 0-1,-1-1 0,1 1 0,0 0 1,1 0-1,-1 0 0,0 1 0,0 1-48,0-1-1,0 1 0,0 0 0,0 0 0,0 0 0,1-1 1,-1 1-1,1 0 0,0-1 0,-1 1 0,3 3 0,-1-5-55,1 1-1,-1-1 0,0-1 1,1 1-1,-1 0 0,1-1 0,-1 1 1,1-1-1,0 0 0,-1 1 1,1-1-1,4-1 0,-6 1 102,1 0 1,-1 0-1,1 0 0,0 0 0,-1 0 0,1 0 1,-1 0-1,1 0 0,-1 1 0,1-1 0,-1 1 1,3 0-1,-2 1-41,-1 0 0,1 0 0,0-1 0,0 1 0,0-1-1,-1 0 1,1 1 0,0-1 0,1 0 0,-1 0 0,0 0 0,2 0 0,17 5-4686,-16-5 1826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2.3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6513,'0'0'9138,"5"42"-9034,5-22 0,0 4-96,0-2-8,4 1-176,1 9-584,-5-10-3081,-1-5 1816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2.5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7241,'0'0'6673,"19"69"-6488,-4-44-185,-6-5-457,6 7-1231,0-7-1153,-6-3-2680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2.9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 76 7393,'0'0'6955,"7"-8"-6561,22-26-193,-28 33-147,0 0 0,0 0 0,-1 0 1,1-1-1,0 1 0,-1 0 0,1 0 0,0 0 0,-1 0 0,0 0 1,1-1-1,-1 1 0,0 0 0,1-1 0,-1 1 0,0 0 0,0 0 1,0-3-1,-1 4-18,1-1 1,0 1-1,-1-1 1,1 1-1,0-1 1,-1 1-1,1-1 1,-1 1-1,1-1 1,-1 1-1,1-1 1,-1 1-1,1 0 1,-1-1-1,1 1 1,-1 0-1,1 0 1,-1-1-1,0 1 1,1 0-1,-1 0 1,1 0-1,-1 0 1,-1-1-1,0 1 25,0 0-1,0 0 0,0 0 1,0 0-1,0 0 0,1 1 1,-1-1-1,0 0 0,0 1 1,0 0-1,0-1 1,0 1-1,1 0 0,-1 0 1,0 0-1,1 0 0,-1 0 1,-2 3-1,2-1-1,0 0-1,0 0 1,1 0 0,-1 0-1,1 1 1,0-1 0,0 1-1,0-1 1,0 1 0,0-1-1,1 1 1,0 0 0,0-1-1,0 1 1,0-1 0,0 1-1,2 6 1,-1-8-96,0 1 1,0-1-1,0 0 0,1 1 1,-1-1-1,0 0 0,1 0 1,0 0-1,-1 0 0,1 0 1,0 0-1,0 0 0,0-1 1,0 1-1,0-1 0,1 1 1,-1-1-1,0 0 1,1 0-1,-1 0 0,1 0 1,-1-1-1,1 1 0,-1 0 1,5-1-1,32 1-3166,-21-3-862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3.1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6425,'0'0'8946,"39"82"-8002,-29-57-496,5 2-176,-1-3-272,6 1-1056,-1-3-1169,-4-9-1927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3.8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123 68 1584,'0'0'15376,"-11"-10"-14605,-33-32-142,41 40-560,1 1 0,0-1 0,0 0 0,-1 1 0,1 0 0,-1-1 0,1 1 0,-1 0 0,1 0 0,-5 0 0,6 1-50,0-1 0,0 1-1,0 0 1,0 0 0,0 1 0,-1-1 0,1 0 0,0 0-1,0 0 1,0 1 0,0-1 0,0 0 0,0 1 0,0-1-1,0 1 1,0 0 0,-1 0 0,0 1-10,0 0 0,1-1 1,0 1-1,-1 0 0,1 0 0,0 0 0,0 0 1,0 0-1,0 0 0,0 0 0,1 1 1,-1-1-1,1 0 0,-1 0 0,1 1 0,0 3 1,0-1-21,0-1 1,0 0 0,0 1-1,1-1 1,-1 0 0,1 1 0,0-1-1,1 0 1,2 7 0,-3-10-22,0 1 0,0-1 0,0 0 0,0 0 1,0 0-1,1 0 0,-1 0 0,0 0 0,1 0 0,-1 0 1,1 0-1,-1 0 0,1-1 0,-1 1 0,1-1 0,0 1 1,-1-1-1,1 0 0,0 0 0,-1 1 0,1-1 0,0 0 1,-1 0-1,1-1 0,-1 1 0,1 0 0,3-1 0,-2-2 18,0 1 0,0-1-1,-1 0 1,1 1-1,-1-1 1,1 0 0,-1-1-1,0 1 1,0 0-1,0-1 1,-1 1-1,1-1 1,-1 1 0,0-1-1,2-5 1,-3 8 10,15 14 270,-9-8-354,-1-1 0,1 1 0,0-1-1,1 0 1,-1 0 0,1-1-1,0 0 1,0 0 0,8 2 0,37 6-5791,-35-8-1299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4.0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3528,'0'0'11179,"87"54"-11027,-67-44-152,4 0-96,1 0-560,-6-3-985,-9-5-4712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4.2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73 1 6081,'0'0'9234,"-73"78"-9234,73-60-1088,0-3-1689,5-3-5065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4.4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7961,'0'0'7914,"0"67"-7914,5-55-328,5 1-400,0-3-929,4-3-823,-4-5-1713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4.8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 10 6105,'0'0'9925,"-11"-2"-9380,-32-5-220,49 9-449,0 0-1,0 1 1,0-1 0,0 1-1,0 0 1,-1 1-1,0 0 1,1 0-1,-1 0 1,-1 0-1,1 1 1,-1-1 0,1 1-1,-1 0 1,-1 1-1,1-1 1,-1 1-1,0 0 1,0-1-1,-1 1 1,1 1-1,-1-1 1,-1 0 0,1 0-1,0 10 1,-2-15 157,0-1 0,0 1 0,0-1 0,0 1 0,0-1 0,0 1 1,0-1-1,0 1 0,0-1 0,0 1 0,-1-1 0,1 0 0,0 1 0,0-1 1,0 1-1,-1-1 0,1 0 0,0 1 0,-1-1 0,1 0 0,0 1 0,-1-1 1,1 0-1,0 1 0,-1-1 0,1 0 0,-1 0 0,1 1 0,0-1 0,-1 0 1,1 0-1,-1 0 0,1 0 0,-1 0 0,1 0 0,-1 1 0,1-1 0,-1 0 1,1 0-1,-1 0 0,1-1 0,0 1 0,-1 0 0,1 0 0,-1 0 0,1 0 1,-1 0-1,1 0 0,-1-1 0,1 1 0,0 0 0,-1-1 0,-1 0 96,-1 0-1,2 0 0,-1 0 1,0 0-1,0 0 1,0-1-1,0 1 0,1-1 1,-1 1-1,-2-4 0,3 3-94,-1 0-1,1-1 0,-1 1 1,1-1-1,0 0 0,0 0 1,0 1-1,0-1 0,1 0 1,-1 0-1,1 0 0,0 0 1,0 0-1,0 0 0,0 1 1,0-5-1,1 5-215,0 0 0,0 0 0,1 0 0,-1 0 0,0 0 0,1 0 0,-1 0 0,1 0 0,0 0 0,-1 1 0,1-1 0,0 0 0,0 1 0,0 0 0,0-1 0,0 1 0,0 0 0,1 0 0,-1 0 0,3 0 0,18-8-4402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5.4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8305,'0'0'9790,"6"10"-8866,5 10-481,-1 1 1,11 34-1,-16-39-403,0 0 1,11 20-1,-13-31-421,-1 0 1,1-1 0,0 0 0,0 1 0,1-1 0,6 6 0,-10-10 215,1 1 1,-1-1-1,0 0 1,1 1-1,-1-1 1,0 0-1,1 0 1,-1 1 0,0-1-1,1 0 1,-1 0-1,1 0 1,-1 0-1,0 0 1,1 1 0,-1-1-1,1 0 1,-1 0-1,0 0 1,1 0-1,-1 0 1,1 0 0,-1 0-1,1 0 1,-1 0-1,0-1 1,1 1-1,-1 0 1,1 0 0,-1 0-1,0 0 1,1-1-1,-1 1 1,1 0-1,-1 0 1,0-1-1,0 1 1,1 0 0,-1-1-1,5-8-6594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35.6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20 5705,'0'0'10218,"5"-3"-9562,14 3 0,-4 0-440,5 0 56,-1 0-272,5-2-320,1-3-1208,-6 0-1337,1 0-3216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44.2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5097,'0'0'7437,"4"14"-6804,5 25-362,3 0-1,21 51 0,-31-91 156,0-9-297,0-8 128,-7-51 400,5 69-657,0 0-1,0 0 1,0-1-1,0 1 1,0 0-1,0 0 1,0-1 0,0 1-1,0 0 1,0 0-1,0-1 1,0 1 0,0 0-1,0 0 1,0-1-1,1 1 1,-1 0-1,0 0 1,0 0 0,0-1-1,0 1 1,1 0-1,-1 0 1,0 0 0,0-1-1,0 1 1,1 0-1,-1 0 1,0 0-1,0 0 1,0 0 0,1 0-1,-1 0 1,0-1-1,0 1 1,1 0 0,-1 0-1,13 4-67,8 12-51,5 22-741,11 16-6123,-27-43 3054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44.6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70 3576,'0'0'9014,"7"-5"-8799,22-14-110,-28 18-15,0-1 1,0 1-1,0 0 1,0 0-1,-1-1 1,1 1-1,0 0 1,-1-1-1,1 1 0,-1-1 1,1 1-1,-1-1 1,0 1-1,0-1 1,0 1-1,0-1 0,0 1 1,0-1-1,0 1 1,0-1-1,-1 1 1,1-1-1,0 1 1,-1-1-1,1 1 0,-1-1 1,0 1-1,1 0 1,-1 0-1,-1-2 1,0 3-66,0-1 0,0 1 0,0 0 1,0 0-1,0 0 0,0 1 0,0-1 0,0 0 1,0 1-1,0-1 0,1 1 0,-1 0 0,0-1 1,0 1-1,0 0 0,1 0 0,-1 0 0,0 0 1,1 1-1,-1-1 0,1 0 0,0 1 1,-1-1-1,1 1 0,0-1 0,0 1 0,0 0 1,0-1-1,0 1 0,0 0 0,0 0 0,1 0 1,-2 3-1,2-3-23,-1 0 1,1 0 0,0 0-1,-1 1 1,1-1 0,0 0-1,0 0 1,0 0 0,0 1-1,1-1 1,-1 0-1,1 0 1,-1 0 0,1 0-1,0 1 1,0-1 0,0 0-1,0 0 1,0-1-1,0 1 1,1 0 0,-1 0-1,0 0 1,1-1 0,0 1-1,-1-1 1,1 1-1,0-1 1,2 2 0,1-1-414,-1-1-1,1 1 1,-1-1 0,1 0 0,0 0 0,-1 0 0,1 0 0,0-1-1,0 0 1,4 0 0,-6 0-89,17 0-4758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44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 5 880,'0'0'15223,"-5"1"-14656,5-1-567,-19 4 527,19-4-509,-1 1 1,1-1-1,-1 0 0,1 1 0,-1-1 1,1 1-1,0-1 0,-1 1 0,1-1 1,-1 0-1,1 1 0,0-1 0,0 1 1,-1 0-1,1-1 0,0 1 0,0-1 1,-1 1-1,1-1 0,0 1 0,0 0 1,0-1-1,0 1 0,0-1 1,0 1-1,0 0 0,0-1 0,0 1 1,0-1-1,0 1 0,1-1 0,-1 1 1,0 0-1,0-1 0,0 1 0,1-1 1,-1 1-1,0-1 0,1 1 0,0 0 1,0 0-34,0 1 0,1 0 0,-1-1 0,1 0 0,-1 1 0,1-1 0,0 0 0,-1 0 0,1 0 0,0 0 0,0 0 1,0 0-1,0-1 0,-1 1 0,5 0 0,30 3-1488,-36-4 1497,1 0-1,-1-1 0,1 1 0,-1-1 0,1 1 1,-1-1-1,1 1 0,-1-1 0,0 0 0,1 1 1,-1-1-1,0 0 0,1 1 0,-1-1 0,0 0 1,0 1-1,0-1 0,1 0 0,-1 1 1,0-1-1,0 0 0,0 0 0,0 1 0,0-1 1,0 0-1,-1 1 0,1-2 0,0 1 35,0-1-1,0 1 1,0-1 0,0 1-1,0-1 1,-1 1-1,1-1 1,-1 1 0,1-1-1,-1 1 1,1 0 0,-1-1-1,0 1 1,-1-2-1,-1 1-17,1 0 0,-1 1 0,0 0 1,1 0-1,-1 0 0,0 0 0,0 0 0,-4-1 0,-7 1-6122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45.6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88 1040,'0'0'4762,"4"9"-3956,12 27 565,-11-27 696,-11-31 2753,3 16-4595,0 0 0,0-1 0,1 1 0,0 0 0,0-1 0,1 1 0,0-1 0,0 1 0,0-1 1,1-10-1,5 15-447,0 2 0,-1-1 1,1 1-1,0-1 0,0 1 0,5 1 1,-5-1 55,-1 0 10,0 0 1,0 1-1,1-1 0,-1 1 0,0 0 0,0 0 0,0 0 0,0 0 1,0 1-1,-1 0 0,7 3 0,-6-3-151,0-1 0,0 0 0,0 1 0,0-2-1,0 1 1,0 0 0,1-1 0,-1 1 0,0-1 0,1-1 0,7 0-1,-11 0 332,0 1-1,-1-1 0,1 1 0,-1-1 0,1 0 0,-1 1 0,1-1 0,-1 0 0,1 1 0,-1-1 0,0 0 0,1 1 0,-1-1 0,0 0 0,1 0 0,-1 0 0,0 1 0,0-1 0,0 0 0,0 0 0,0 0 0,0 0 0,0 1 0,0-1 0,0 0 0,0 0 0,0 0 0,-1 1 0,1-1 0,0 0 0,-1 0 0,1 0 0,-1-1 269,1 0 0,-1 0 0,0 0 1,0 0-1,1 0 0,-1 0 0,0 0 1,0 0-1,-1 1 0,1-1 0,0 1 1,-3-3-1,3 3-240,0 0 0,0 1 0,0-1 1,-1 0-1,1 1 0,0-1 0,0 1 1,-1 0-1,1-1 0,0 1 0,-1 0 0,1 0 1,-1 0-1,1 0 0,0 0 0,-1 0 1,1 0-1,0 0 0,-1 1 0,1-1 0,0 0 1,-1 1-1,1-1 0,0 1 0,0 0 0,0-1 1,-1 1-1,1 0 0,0 0 0,0 0 1,0 0-1,0-1 0,0 1 0,0 1 0,1-1 1,-1 0-1,0 0 0,0 0 0,1 0 1,-1 0-1,1 1 0,-1-1 0,1 0 0,-1 3 1,0-1-27,0 0 1,1 0-1,-1 0 1,1 0 0,0 0-1,0 0 1,0 0-1,0 0 1,1 0-1,-1 0 1,1 0 0,-1 0-1,1 0 1,0-1-1,0 1 1,1 0 0,-1 0-1,0-1 1,3 4-1,0-1-171,0 0-1,1-1 1,-1 0-1,1 0 1,0 0-1,0-1 1,7 4-1,-9-5-833,1-1-1,-1 0 0,1 0 1,-1 0-1,1 0 1,0 0-1,0-1 0,5 0 1,1 0-5461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49:46.2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1688,'0'0'7024,"4"12"-6668,-2-2-444,-1-1-11,0-1 1,1 0 0,1 1-1,-1-1 1,1 0-1,1 0 1,-1-1-1,2 1 1,-1-1-1,10 13 1,-14-63 4254,-7 23-2346,6 17-1665,0 1-1,0 0 1,0 0-1,0-1 0,0 1 1,0-1-1,1 1 1,-1-1-1,1 1 1,0-1-1,0 1 0,0-1 1,0 1-1,0-1 1,0 1-1,1-1 1,0-4-1,0 7-118,-1-1-1,0 1 1,1-1 0,-1 1-1,1-1 1,-1 1 0,1 0-1,-1-1 1,0 1 0,1-1-1,0 1 1,-1 0 0,1 0-1,-1-1 1,1 1 0,-1 0-1,1 0 1,0 0 0,-1 0-1,1 0 1,-1 0 0,1 0-1,0 0 1,-1 0 0,1 0-1,-1 0 1,1 0 0,0 0 0,-1 0-1,1 0 1,-1 1 0,1-1-1,-1 0 1,1 0 0,-1 1-1,1-1 1,-1 0 0,1 1-1,-1-1 1,1 1 0,16 18 177,16 45-743,-34-70 634,0-1 0,1 1 0,0 0 0,0 0 0,2-8 0,-1-5 91,-1 21-240,1 1 0,0-1 0,1 1 0,-1-1-1,0 0 1,1 0 0,-1 0 0,1 1 0,0-2-1,-1 1 1,1 0 0,0 0 0,0 0 0,0-1 0,1 1-1,-1-1 1,0 0 0,0 0 0,1 0 0,3 2-1,2 0-446,0 1 0,0-1 0,1-1-1,-1 0 1,17 3 0,-5-5-4133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05.9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1 134 6001,'0'0'7148,"2"15"-7010,10 47-24,-11-56-92,1 0 1,0 0-1,0 0 0,0 0 1,1 0-1,0-1 1,5 9-1,3 3 39,-10-14-39,-1-2 187,0-34 1179,-5-84 551,5 116-1936,0 1-1,0-1 1,0 1-1,0-1 1,0 1-1,0 0 1,0-1-1,0 1 1,0-1-1,0 1 1,0-1-1,0 1 1,0 0-1,1-1 1,-1 1-1,0-1 1,0 1-1,1 0 1,-1-1-1,0 1 1,0 0-1,1-1 1,-1 1-1,0 0 1,1-1-1,-1 1 1,0 0-1,1 0 1,-1-1-1,1 1 1,-1 0-1,0 0 1,1 0-1,-1 0 1,1 0-1,-1 0 1,1-1-1,-1 1 1,1 0-1,-1 0 1,0 0-1,1 0 1,-1 0-1,1 1 1,-1-1-1,1 0 1,-1 0-1,0 0 1,1 0-1,-1 0 1,1 1-1,-1-1 1,0 0-1,1 0 1,-1 1-1,0-1 1,1 1-1,22 15 57,-12-1-113,1 1-1,-2 0 1,9 18 0,-9-15-333,0-10 176,-4-17 181,-2-17 52,-4 14-37,-1-2 216,1 0-1,1 0 1,0 0 0,1 0 0,5-23 0,-4 45-115,-1 1 1,2-1 0,-1 0-1,1 0 1,0 0 0,1-1-1,9 14 1,-9-17-187,-1-1 0,0 1-1,1-1 1,0 0 0,0 0 0,0 0 0,1-1-1,-1 0 1,1 0 0,6 3 0,-8-5-324,0 0-1,-1 0 1,1 0 0,-1-1 0,1 1 0,0-1 0,0 0-1,-1 0 1,1 0 0,0 0 0,0-1 0,-1 1 0,1-1-1,-1 0 1,1 0 0,0 0 0,-1-1 0,4-2 0,9-5-4702</inkml:trace>
  <inkml:trace contextRef="#ctx0" brushRef="#br0" timeOffset="303.78">386 149 5881,'0'0'10833,"-4"-3"-9991,3 2-805,0 1 0,0-1-1,0 0 1,0 1-1,0-1 1,0 1 0,-1-1-1,1 1 1,0 0-1,0 0 1,0-1 0,-1 1-1,1 0 1,0 0-1,0 0 1,-1 0 0,1 0-1,0 1 1,0-1-1,-1 0 1,1 0 0,0 1-1,0-1 1,-1 1-1,0 1 1,1-1-1,0 0 1,-1 1-1,1-1 0,0 1 1,0-1-1,0 1 1,0 0-1,1-1 0,-1 1 1,0 0-1,1-1 1,-1 1-1,1 0 1,0 0-1,-1 0 0,1 0 1,0-1-1,0 1 1,1 3-1,-2-2-30,1-1 1,0 1-1,1-1 1,-1 1-1,0 0 1,1-1-1,-1 1 1,1-1-1,0 1 1,0-1-1,0 0 1,0 1-1,0-1 1,1 0-1,-1 0 1,1 0-1,-1 0 1,1 0-1,0 0 1,0 0-1,-1 0 0,2-1 1,-1 1-1,0-1 1,0 1-1,0-1 1,1 0-1,-1 0 1,0 0-1,1 0 1,-1 0-1,1-1 1,-1 1-1,1-1 1,0 1-1,-1-1 1,1 0-1,-1 0 1,1 0-1,-1-1 1,4 0-1,-5 1-9,1 0-1,-1-1 1,1 0-1,-1 1 1,1-1-1,-1 0 1,0 1-1,1-1 1,-1 0 0,0 0-1,0 0 1,0 0-1,1-1 1,-1 1-1,0 0 1,-1 0-1,1-1 1,0 1 0,0 0-1,0-1 1,-1 1-1,1-1 1,-1 1-1,1-1 1,-1 1-1,0-1 1,0 1 0,1-1-1,-1 1 1,0-1-1,0 1 1,0-1-1,-1 0 1,1-2-1,-1 1 37,1-1-1,0 1 1,-1-1-1,1 1 0,-1 0 1,0-1-1,0 1 1,-1 0-1,1 0 0,-1 0 1,1-1-1,-1 2 1,0-1-1,-4-5 0,4 7-75,1 0-1,-1 0 0,1 0 0,-1 0 1,0 1-1,1-1 0,-1 0 1,0 1-1,1-1 0,-1 1 1,0 0-1,0 0 0,-2-1 0,4 1-282,-1 0-1,0 1 1,1-1-1,-1 0 0,0 0 1,1 0-1,-1 0 1,0 1-1,1-1 1,-1 0-1,0 1 0,1-1 1,-1 0-1,1 1 1,-1-1-1,1 1 0,-1-1 1,1 1-1,-1-1 1,1 1-1,-1 1 1,-4 7-7327</inkml:trace>
  <inkml:trace contextRef="#ctx0" brushRef="#br0" timeOffset="1232.77">567 166 4929,'0'0'10949,"-1"9"-10827,1-2-96,-1 0 0,2 0 0,-1 0 0,1 1 0,3 12 0,-4-18-43,1 1 1,0 0-1,0-1 0,0 1 0,0-1 0,1 1 0,-1-1 0,1 1 0,-1-1 0,1 0 0,0 0 0,0 0 0,0 0 0,0 0 0,0 0 1,0-1-1,0 1 0,1-1 0,-1 1 0,0-1 0,1 0 0,5 2 0,-8-4 1,1 0 0,0 0 0,-1 0-1,1 0 1,-1 0 0,1 0 0,-1 0 0,0 0 0,1 0 0,-1 0 0,0-1-1,0 1 1,1 0 0,-1 0 0,0 0 0,0 0 0,-1 0 0,1-1-1,0 1 1,0-1 0,-1 1-17,1-116 70,0 116-70,10 3-203,-5 3 40,-1 1 0,0 0 0,-1 0 0,1 0 0,4 11 0,-7-13 29,1 1-1,-1-1 0,1 0 0,0 0 0,1 0 1,-1 0-1,1 0 0,0-1 0,-1 1 1,2-1-1,-1 0 0,0 0 0,1 0 0,-1 0 1,1 0-1,0-1 0,4 3 0,-7-5 175,0 0-1,-1 0 0,1 0 1,0 0-1,-1 0 1,1 0-1,0 0 0,-1 0 1,1 0-1,0 0 0,-1 0 1,1 0-1,0-1 1,-1 1-1,1 0 0,0-1 1,-1 1-1,1 0 0,-1-1 1,1 1-1,-1 0 0,1-1 1,-1 1-1,1-1 1,-1 1-1,1-1 0,-1 0 1,0 1-1,1-1 0,-1 1 1,0-1-1,1 0 1,-1 1-1,0-1 0,0 1 1,0-1-1,1 0 0,-1 1 1,0-1-1,0 0 0,0 0 1,0 0-1,1-37 1337,-1 32-1090,-1-9 285,0 11-345,1 0 1,-1 0-1,1 1 0,0-1 1,0 0-1,1 0 0,-1 0 1,1 0-1,0 0 0,0 1 1,2-7-1,-2 11-160,0 0-1,0 0 1,0 0-1,0 0 1,-1 1-1,1-1 1,0 0-1,0 0 1,-1 0-1,1 1 1,-1-1 0,1 0-1,-1 1 1,1-1-1,-1 0 1,0 1-1,0-1 1,0 3-1,5 10-23,-3-10-1,0 0 0,0 0 0,1 0 1,0-1-1,-1 1 0,1 0 0,1-1 0,-1 0 1,0 0-1,1 0 0,-1 0 0,1-1 1,0 1-1,0-1 0,0 0 0,0 0 0,1 0 1,-1-1-1,0 0 0,1 1 0,-1-2 1,1 1-1,6 0 0,-5 0-8,0 0 0,0-1 0,0 0-1,0 0 1,0-1 0,0 0 0,-1 0 0,1 0 0,0 0-1,0-1 1,-1 0 0,1 0 0,-1-1 0,1 0 0,-1 0 0,5-4-1,1 0 31,-10 7-15,0 0 1,0-1-1,0 1 1,-1-1-1,1 1 1,0-1-1,0 1 1,-1-1-1,1 0 0,0 1 1,-1-1-1,1 0 1,-1 1-1,1-1 1,-1 0-1,1 0 1,-1 0-1,1 0 1,-1 1-1,0-1 1,0 0-1,1 0 1,-1 0-1,0 0 1,0 0-1,0 0 1,0 0-1,0 0 1,0 0-1,0-1 837,-2 2-791,1 0 1,-1 0 0,1 0 0,0 0-1,-1 1 1,1-1 0,0 0 0,-1 1-1,1-1 1,0 1 0,-1 0 0,1-1-1,0 1 1,0 0 0,0 0 0,-1 0-1,1 0 1,0 0 0,0 0-1,0 0 1,1 0 0,-1 0 0,0 0-1,0 0 1,1 1 0,-1-1 0,0 0-1,1 1 1,-1-1 0,1 0 0,0 1-1,-1-1 1,1 0 0,0 1 0,0 1-1,0-1-36,0 1 0,0-1 0,0 1-1,0-1 1,1 0 0,-1 1 0,1-1-1,-1 1 1,1-1 0,0 0 0,0 0-1,0 0 1,0 1 0,0-1 0,1 0-1,-1 0 1,1 0 0,-1-1 0,1 1-1,2 2 1,1-1-211,0-1 1,0 0-1,0 0 1,0 0-1,1 0 1,-1-1-1,0 0 0,1 0 1,0 0-1,-1-1 1,9 0-1,-7 0-936,0-1 1,1 0-1,-1 0 0,12-4 1,2-4-1806</inkml:trace>
  <inkml:trace contextRef="#ctx0" brushRef="#br0" timeOffset="1629.72">1133 154 6137,'0'0'6481,"2"11"-5917,0-2-494,-1 0-17,0-1 0,0 0 0,1 1-1,1-1 1,-1 0 0,1 0 0,1 0-1,-1-1 1,1 1 0,7 8 0,-11-16-49,0 1 0,0-1 0,1 0-1,-1 1 1,0-1 0,0 0 0,1 1 0,-1-1 0,0 0 0,1 0 0,-1 1 0,0-1 0,1 0 0,-1 0 0,0 0 0,1 0 0,-1 1 0,1-1 0,-1 0 0,0 0 0,1 0 0,-1 0 0,1 0 0,-1 0 0,0 0-1,1 0 1,-1 0 0,1 0 0,-1 0 0,0 0 0,1-1 0,0 1 0,4-13 145,-3-21 461,-2 31-441,-10-85 3179,10 87-3136,11 17-220,2 2-42,-9-11-23,0 0 0,1-1-1,0 0 1,0 0 0,1 0-1,9 7 1,-13-12-231,0 1 0,0-1 0,0 0 0,1 0 0,-1-1 0,0 1 0,0 0 0,1-1 0,-1 0 0,1 1 0,-1-1 0,0 0-1,1 0 1,-1 0 0,0 0 0,1-1 0,-1 1 0,1-1 0,-1 1 0,0-1 0,0 0 0,1 0 0,-1 0 0,0 0 0,0 0 0,0-1 0,2-1 0,15-9-5471</inkml:trace>
  <inkml:trace contextRef="#ctx0" brushRef="#br0" timeOffset="1851.07">1445 1 1136,'0'0'15099,"-10"74"-14531,10-47-80,5 2-192,0 1-32,5-3-264,-1 0-144,1-5-176,0-4-320,5-8-2569,-11-3 145,6-7-4610</inkml:trace>
  <inkml:trace contextRef="#ctx0" brushRef="#br0" timeOffset="2042.95">1347 181 10418,'0'0'7185,"59"-32"-7137,-35 27-48,25 2-8,-15 3-1232,5 0-3961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00.8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7881,'0'0'8759,"3"3"-8507,3 7-67,-1-1 0,0 1 0,-1 1-1,0-1 1,0 1 0,-1-1 0,3 18-1,7 84 4,-6-57-1729,1-19-5050,-7-28 573</inkml:trace>
  <inkml:trace contextRef="#ctx0" brushRef="#br0" timeOffset="212.04">15 208 6953,'0'0'8730,"78"-3"-8634,-58 1 128,-6-3-208,1 0-16,0 0-464,-6-7-688,1 4-705,-5-1-2240</inkml:trace>
  <inkml:trace contextRef="#ctx0" brushRef="#br0" timeOffset="465.88">132 6 5281,'0'0'9741,"3"6"-8893,12 26 179,16 52 1,-21-51-1498,2-1-1,25 49 1,-20-57-1802,0-14-3868,-8-9-690</inkml:trace>
  <inkml:trace contextRef="#ctx0" brushRef="#br0" timeOffset="851.81">327 171 8329,'0'0'9258,"0"22"-8962,5-5-232,0 1-56,0 1-8,5 1-424,4-3-672,-4-2-1313,0-7-2704</inkml:trace>
  <inkml:trace contextRef="#ctx0" brushRef="#br0" timeOffset="1406.15">435 213 440,'0'0'11778,"0"13"-10881,3 14-587,1 0-1,0 0 0,2 0 0,16 44 1,-14-52-289,-5-12-173,-1 0 0,1 0 1,1 0-1,0 0 0,0-1 0,0 1 0,7 7 1,-12-42 76,-22-50 1838,13 45-895,-9-44-1,15 58-648,-4-26 606,8 42-800,0 0 0,0 0-1,0 1 1,0-1 0,0 0-1,0 0 1,1 1 0,0-1 0,-1 0-1,1 1 1,0-1 0,2-3 0,-2 5-27,0 0 1,0 0-1,0 0 1,0 0-1,0 0 1,0 0-1,0 0 1,0 0-1,1 1 1,-1-1-1,0 0 1,0 1-1,1 0 1,-1-1-1,0 1 1,1-1-1,-1 1 1,1 0-1,-1 0 1,0 0-1,1 0 1,-1 0-1,1 0 1,-1 0-1,0 1 1,3 0-1,-2-1 4,1 1-1,-1-1 1,0 1-1,0 0 1,0 0-1,0 0 0,0 0 1,0 1-1,0-1 1,0 0-1,0 1 1,-1 0-1,1-1 1,2 4-1,-1 0-16,0-1 1,0 1-1,0 0 0,-1-1 1,0 1-1,0 1 0,0-1 1,-1 0-1,1 0 0,-1 1 1,0-1-1,-1 0 0,0 1 1,0-1-1,0 1 0,-1 7 1,0-12 30,1 0 0,-1 0 1,0-1-1,1 1 0,-1 0 1,0-1-1,0 1 1,0 0-1,1-1 0,-1 1 1,0-1-1,0 1 0,0-1 1,0 0-1,0 1 0,0-1 1,0 0-1,0 0 1,0 1-1,0-1 0,0 0 1,0 0-1,0 0 0,0 0 1,0-1-1,0 1 0,0 0 1,-2-1-1,0 1 36,0-1 1,0 1-1,0-1 0,0 0 1,0 0-1,0 0 0,1-1 0,-6-2 1,0-4-477,18 7-213,1 1 535,21 0 60,87-2-2145,-90 0-87,0-1-1,31-8 1,-24 2-4254</inkml:trace>
  <inkml:trace contextRef="#ctx0" brushRef="#br0" timeOffset="3143.47">1015 57 1008,'0'0'10351,"0"26"-7070,2-9-3138,0-1 1,1 0-1,1 0 0,1-1 0,0 1 1,14 29-1,0 2-92,-18-47-55,0 5-46,0-1-1,1 0 1,0 0-1,0 0 1,0 0-1,0 0 1,1 0 0,-1-1-1,4 4 1,-7-42 511,-3 17-151,3 12-251,-1 0 1,1 0 0,0 0 0,0 0 0,0 0 0,1-1 0,0 1 0,0 0 0,1-1 0,1-6 0,-1 12-58,-1 0-1,0 0 1,1 1-1,0-1 1,-1 0 0,1 0-1,-1 0 1,1 1-1,0-1 1,0 0-1,-1 1 1,1-1-1,0 0 1,0 1-1,0-1 1,0 1-1,0 0 1,0-1 0,0 1-1,0 0 1,0-1-1,0 1 1,0 0-1,0 0 1,0 0-1,0 0 1,0 0-1,0 0 1,0 0-1,0 0 1,0 1 0,0-1-1,0 0 1,0 0-1,-1 1 1,1-1-1,0 1 1,2 0-1,0 1-5,1 0 0,0 0-1,-1 0 1,0 0 0,1 1 0,-1-1-1,0 1 1,3 4 0,-1-1-60,-1 0 1,0 0 0,0 0-1,-1 1 1,1-1 0,-2 1-1,1 0 1,-1 0 0,0 0-1,0 0 1,-1 0 0,0 0-1,1 12 1,-3-18 78,0 0 1,0-1-1,0 1 1,0-1-1,1 1 1,-1-1-1,0 1 1,0-1-1,0 1 0,0-1 1,0 0-1,0 1 1,-1-1-1,1 0 1,0 0-1,0 0 1,0 0-1,0 0 0,0 0 1,-1 0-1,1 0-4,0 0-1,0 0 0,0 0 0,1 0 0,-1 0 0,0 0 1,0 0-1,0 0 0,1 0 0,-1 0 0,0-1 1,0 1-1,0 0 0,1-1 0,-1 1 0,0 0 0,0-1 1,1 1-1,-1-1 0,0 1 0,1-1 0,-1 1 1,1-1-1,-1 1 0,1-1 0,-1 0 0,1 1 0,-1-1 1,1 0-1,-1-1 0,45-11-163,-35 11 51,-1-1 0,1-1 0,-1 0 0,0 0 1,0-1-1,11-9 0,-16 12 128,0 0-1,0-1 1,0 1 0,0-1-1,-1 0 1,1 0 0,-1 0-1,0 0 1,0 0-1,0-1 1,0 1 0,-1 0-1,1-1 1,-1 0 0,0 1-1,0-1 1,0 0 0,0-4-1,-1 7 32,0 0-1,-1 0 0,1 1 0,0-1 1,0 0-1,-1 0 0,1 1 0,0-1 1,-1 0-1,1 1 0,-1-1 0,1 0 1,-1 1-1,1-1 0,-1 1 0,0-1 1,1 1-1,-1-1 0,0 1 1,1-1-1,-1 1 0,0-1 0,0 1 1,1 0-1,-1 0 0,0-1 0,0 1 1,1 0-1,-1 0 0,0 0 0,0 0 1,0 0-1,1 0 0,-1 0 0,0 0 1,0 0-1,0 0 0,1 0 0,-2 1 1,0-1 10,-1 1 0,1-1 1,-1 0-1,1 1 0,0 0 0,-1 0 1,1-1-1,0 1 0,0 1 1,0-1-1,0 0 0,-4 3 0,4-2-17,1 0 0,-1 0 1,1 0-1,-1 0 0,1 0 0,0 0 0,0 1 0,0-1 0,0 1 0,0-1 0,0 0 0,1 1 0,-1-1 0,1 1 0,0-1 0,-1 1 0,1-1 0,1 1 0,-1 0 1,0-1-1,0 1 0,2 3 0,-1-4-58,0-1 0,0 1 0,0 0 0,0 0 0,0-1 0,1 1 0,-1-1 0,0 1 0,1-1 0,-1 1 0,1-1 0,0 0 0,-1 0 0,1 0 0,0 0 0,0 0 0,0 0 0,0 0 0,0-1 0,0 1 0,0-1 0,0 1 0,0-1 0,0 0 0,0 0 0,4 0 0,-4 0-15,0 0-1,0 0 1,0-1-1,1 1 1,-1-1 0,0 1-1,0-1 1,0 0-1,0 0 1,0 0-1,0 0 1,0 0-1,0 0 1,0-1-1,0 1 1,-1-1-1,1 1 1,-1-1-1,1 1 1,-1-1 0,1 0-1,-1 0 1,1-2-1,5-5-334,2 17-59,-6-5 244,-1 0 1,1 0-1,0-1 1,0 1-1,0-1 1,0 0-1,1 1 1,-1-2-1,1 1 0,-1 0 1,5 1-1,58-3-5372,-45 0-677</inkml:trace>
  <inkml:trace contextRef="#ctx0" brushRef="#br0" timeOffset="3650.66">1532 151 6185,'0'0'11626,"-12"-1"-11291,-38-3-126,49 4-203,0 0 0,0 0 0,0 0 1,0 0-1,0 0 0,0 0 0,0 0 0,0 1 0,0-1 1,0 0-1,0 1 0,1-1 0,-1 0 0,0 1 0,0-1 0,0 1 1,0 0-1,0-1 0,1 1 0,-1 0 0,0-1 0,0 1 1,1 0-1,-1 0 0,1-1 0,-1 1 0,1 0 0,-1 0 0,1 0 1,-1 0-1,1 0 0,0 0 0,-1 0 0,1 0 0,0 0 1,0 0-1,0 1 0,0 0 2,0 0-1,0-1 1,0 1 0,0-1 0,0 1 0,1-1-1,-1 1 1,1-1 0,-1 1 0,1-1 0,-1 1 0,1-1-1,0 0 1,0 1 0,0-1 0,-1 0 0,1 0-1,2 2 1,31 15-135,-25-15-108,-1 1-1,0 0 0,0 1 0,0 0 1,-1 0-1,0 0 0,10 11 0,-16-16 231,-1 0 0,1 1-1,-1-1 1,1 1 0,-1-1-1,1 0 1,-1 1 0,0-1-1,1 1 1,-1-1 0,0 1-1,1 0 1,-1-1 0,0 1-1,0-1 1,0 1 0,1-1-1,-1 1 1,0 0 0,0-1-1,0 1 1,0-1 0,0 1-1,0 0 1,0-1 0,0 1-1,0-1 1,-1 1-1,1 0 1,0-1 0,0 1-1,0-1 1,-1 2 0,0-2 51,0 1 0,-1-1 0,1 1 0,0-1 0,0 1 0,-1-1 0,1 0 0,0 1 0,0-1 0,-1 0 0,1 0 0,0 0 0,-1 0 1,-1-1-1,-1 1 122,-1 0 1,1-1 0,-1 0 0,1 0 0,0 0 0,-1-1 0,1 1-1,-7-5 1,10 4-175,1 2-190,11-3-575,64-7-1568,-24 8-4432,-37 2 909</inkml:trace>
  <inkml:trace contextRef="#ctx0" brushRef="#br0" timeOffset="4003.34">1688 223 4216,'0'0'9883,"25"-5"-7718,-24 4-2163,1 0-1,-1 0 1,1 1-1,-1-1 0,1 0 1,-1 0-1,0-1 0,1 1 1,-1 0-1,0 0 1,0-1-1,0 1 0,0-1 1,0 1-1,0-1 1,-1 1-1,1-1 0,0 1 1,-1-1-1,1 0 0,-1 1 1,1-1-1,-1-2 1,-3 3 21,0 0 0,0 0 0,1 1 0,-1 0 0,0-1 0,0 1 0,0 0 0,0 0 0,0 1 0,0-1 0,-4 1 0,4 1 95,0 0 1,0 0-1,0 0 0,0 1 1,0-1-1,0 0 1,1 1-1,-1 0 0,1 0 1,0 0-1,0 0 1,0 0-1,0 0 1,1 0-1,-1 1 0,1-1 1,-1 5-1,1-7-100,1 1-1,-1 0 0,1 0 0,0 0 1,0 0-1,0 0 0,0 0 0,1 0 1,-1-1-1,0 1 0,1 0 0,-1 0 1,1 0-1,-1-1 0,1 1 0,0 0 1,0 0-1,0-1 0,0 1 0,0-1 1,0 1-1,1-1 0,-1 1 1,0-1-1,1 0 0,-1 0 0,1 0 1,-1 0-1,1 0 0,0 0 0,-1 0 1,1 0-1,0 0 0,3 0 0,3 1-695,1 0 0,0 0 0,0-1 0,0 0 0,1 0 0,-1-1 0,14-2 0,-22 2 482,20-2-5892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10.5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43 6977,'0'0'9497,"1"6"-9400,4 14 71,-2 1-1,2 38 1,10 54-146</inkml:trace>
  <inkml:trace contextRef="#ctx0" brushRef="#br0" timeOffset="513.32">40 173 5281,'0'0'10082,"34"0"-9938,-14 0 16,-1-7-160,-4 0-248,-6-3-848,6 2-201,-5-4-927,-5 0-785,0 2-4783</inkml:trace>
  <inkml:trace contextRef="#ctx0" brushRef="#br0" timeOffset="737.08">172 35 6161,'0'0'8930,"14"79"-8674,-9-57-96,5 3-152,-5 0-8,4-1-552,1 1-545,0-5-1423,0-5-1729</inkml:trace>
  <inkml:trace contextRef="#ctx0" brushRef="#br0" timeOffset="945.07">333 183 6209,'0'0'6809</inkml:trace>
  <inkml:trace contextRef="#ctx0" brushRef="#br0" timeOffset="1555.6">445 230 1376,'0'0'8495,"1"13"-6765,4 13-1323,1 0 1,0 0-1,2 0 1,1-1-1,19 37 1,-25-56-404,-2-5-17,-1 1 1,1 0-1,0 0 1,0-1-1,0 1 0,0-1 1,0 1-1,0-1 1,0 1-1,1-1 1,-1 0-1,0 1 1,1-1-1,-1 0 1,1 0-1,-1 0 0,1 0 1,3 1-1,-5-23 344,-1 10-48,0 0-1,-1 0 1,-1 0 0,0 1 0,0-1 0,-7-14 0,-6-19 543,13 33-692,0 1-1,1-1 0,0 0 1,1 0-1,0 0 1,1 0-1,1-12 0,-1 21-139,0 0-1,1 0 1,-1 0-1,0 0 1,1 0-1,0 0 1,-1 0-1,1 0 0,0 0 1,0 0-1,0 0 1,0 0-1,0 0 1,1 1-1,-1-1 1,1 0-1,-1 1 0,1-1 1,-1 1-1,1 0 1,0-1-1,-1 1 1,1 0-1,0 0 1,0 0-1,0 0 0,0 1 1,0-1-1,0 0 1,0 1-1,0-1 1,1 1-1,-1 0 1,0 0-1,0 0 0,0 0 1,0 0-1,0 0 1,1 1-1,-1-1 1,0 1-1,0-1 1,3 2-1,-3 0-45,0 0 0,0-1 0,0 1 0,0 0 0,-1 0 0,1 0 0,0 1 0,-1-1 0,0 0 0,0 1 0,1-1 0,-1 0 0,0 1 0,-1 0 0,1-1 0,0 1 0,-1-1 0,0 1 0,1 0 0,-1-1 0,0 1 0,0 0 0,-1 4 0,-1-6 105,1 0-1,-1 0 1,1 0-1,-1 0 1,0-1-1,1 1 1,-1-1-1,0 1 1,1-1-1,-1 0 1,0 1 0,1-1-1,-1 0 1,0 0-1,0 0 1,1 0-1,-1 0 1,-3-1-1,0 0 85,1 1 0,-1-1 0,1 0 0,-1 0-1,1-1 1,-6-1 0,9 3-164,1-1 0,0 1-1,-1 0 1,1 0 0,-1-1 0,1 1-1,-1 0 1,1 0 0,0-1 0,-1 1 0,1-1-1,0 1 1,-1 0 0,1-1 0,0 1-1,-1-1 1,1 1 0,0 0 0,0-1-1,0 1 1,-1-1 0,1 1 0,0-1 0,0 1-1,0-1 1,0 1 0,0-1 0,0 1-1,0-1 1,0 1 0,0-1 0,0 0 0,15-9-498,31 0-669,-41 9 811,23-3-2327,-3 1-1886</inkml:trace>
  <inkml:trace contextRef="#ctx0" brushRef="#br0" timeOffset="2171.93">323 186 6041,'0'0'5441,"10"64"-6265,-10-54 152,4-3 312,-4-4-265,5-3-791</inkml:trace>
  <inkml:trace contextRef="#ctx0" brushRef="#br0" timeOffset="2362.71">323 186 6241,'-29'-96'4201,"33"96"-4201,6 0-720,0 0-4618</inkml:trace>
  <inkml:trace contextRef="#ctx0" brushRef="#br0" timeOffset="3699.25">908 11 1776,'0'0'14112,"3"13"-13816,62 204 155,-63-216-458,0-7 14,-1-8 33,-1-6 34,-1 15-42,0 0-1,1 0 1,0 0 0,0 1 0,0-1 0,1 0 0,-1 0-1,1 0 1,0 1 0,0-1 0,1 0 0,0 1 0,0-1-1,0 1 1,0 0 0,0-1 0,4-3 0,-5 7-34,0 0 0,0 0 0,0 0 0,0 0 0,0 0 0,1 1 0,-1-1 0,0 0 0,0 1 0,1-1 0,-1 1 0,0-1 0,1 1 0,-1-1 0,1 1 0,-1 0 0,1 0 0,-1 0 0,0 0 0,1 0 0,-1 0 0,1 0 0,-1 0 0,1 1 0,-1-1 0,0 0 0,1 1 0,-1 0 0,0-1 0,1 1 0,-1-1 0,0 1 0,0 0 0,1 0 0,-1 0 0,0 0 0,0 0 0,0 0 0,0 0 0,0 0 0,-1 0 0,1 1 0,0-1 0,0 2 0,3 2-122,0 1-1,-1 0 0,0 0 0,0 0 0,-1 0 0,1 1 0,-1-1 0,1 9 0,-2 35-760,-1-49 887,-1-1 1,1 0-1,0 0 0,0 0 0,-1 1 1,1-1-1,0 0 0,-1 0 0,1 0 1,0 0-1,0 1 0,-1-1 0,1 0 1,0 0-1,-1 0 0,1 0 0,0 0 1,-1 0-1,1 0 0,0 0 1,-1 0-1,1 0 0,0 0 0,-1 0 1,1 0-1,0 0 0,0-1 0,-1 1 1,1 0-1,0 0 0,-1 0 0,1 0 1,0 0-1,0-1 0,-1 1 0,1 0 1,-1-1-1,-11-6 100,12 7-90,-3-3 19,1 0 1,0 0-1,0-1 0,0 1 1,0 0-1,0-1 0,1 1 1,-1-1-1,0-5 0,3 8-28,1-1-1,0 1 0,-1 0 0,1 0 0,0 0 0,0 0 1,0 0-1,0 0 0,0 0 0,0 1 0,0-1 1,0 1-1,0-1 0,3 1 0,-1-1-11,16-4-158,24-6-901,-41 10 1030,-1 0 0,0 0 0,0 0 0,1 0 0,-1 0-1,0 0 1,0-1 0,-1 1 0,1 0 0,0-1 0,0 0-1,-1 1 1,1-1 0,2-4 0,-4 6 45,0 0-1,0 0 1,0 0 0,0 0 0,0 0-1,0 0 1,0 0 0,0 0-1,1 0 1,-1 0 0,0 0 0,0 0-1,0 0 1,0-1 0,0 1 0,0 0-1,0 0 1,0 0 0,0 0 0,0 0-1,0 0 1,0 0 0,0 0-1,0-1 1,0 1 0,0 0 0,0 0-1,0 0 1,0 0 0,0 0 0,0 0-1,0 0 1,0 0 0,0 0 0,0-1-1,0 1 1,0 0 0,0 0 0,0 0-1,0 0 1,0 0 0,0 0-1,-1 0 1,1 0 0,0 0 0,0 0-1,0 0 1,0-1 0,0 1 0,0 0-1,0 0 1,0 0 0,0 0 0,0 0-1,-1 0 1,1 0 0,0 0-1,0 0 1,0 0 0,0 0 0,0 0-1,-9 4 182,-10 14 233,18-14-328,-1-1 0,1 1 0,-1-1 0,1 1 0,1 0 0,-1 0 0,0-1 0,1 1 0,0 0 0,0 0 0,0 0 0,0 0 0,1 6 0,0-9-96,0 1 0,0 0-1,0-1 1,-1 1 0,1-1-1,1 1 1,-1-1-1,0 1 1,0-1 0,1 0-1,-1 1 1,0-1 0,1 0-1,-1 0 1,1 0-1,0 0 1,-1-1 0,1 1-1,0 0 1,-1 0 0,1-1-1,0 0 1,0 1 0,-1-1-1,1 0 1,0 0-1,0 1 1,0-2 0,3 1-1,-3 0-43,0 0 0,0 0 0,0 0-1,1 0 1,-1-1 0,0 1-1,0-1 1,0 0 0,0 1 0,0-1-1,0 0 1,0 0 0,0 0-1,0 0 1,0-1 0,0 1 0,0 0-1,-1-1 1,1 1 0,-1-1 0,1 0-1,-1 0 1,0 1 0,1-1-1,-1 0 1,0 0 0,0 0 0,0 0-1,-1 0 1,1 0 0,0-1 0,-1 1-1,0 0 1,1-4 634,18 26-232,-17-18-595,1 0 0,0 0 0,0 0 0,-1-1 0,1 1 0,1-1 0,-1 1-1,0-1 1,0 0 0,0 0 0,1-1 0,-1 1 0,0-1 0,5 1 0,11-1-3697</inkml:trace>
  <inkml:trace contextRef="#ctx0" brushRef="#br0" timeOffset="4368.39">1401 129 4520,'0'0'11478,"-6"0"-11106,-33-2 138,39 2-509,0 0 0,-1 0 0,1 0 1,0 0-1,0 0 0,0 0 0,-1 0 0,1 0 0,0 0 0,0 0 0,-1 0 0,1 0 0,0 1 0,0-1 0,0 0 0,0 0 0,-1 0 0,1 0 0,0 1 0,0-1 0,0 0 1,0 0-1,0 0 0,-1 1 0,1-1 0,0 0 0,0 0 0,0 0 0,0 1 0,0-1 0,0 0 0,0 0 0,0 1 0,0-1 0,0 0 0,0 0 0,0 1 0,0-1 0,0 0 1,0 0-1,0 0 0,0 1 0,0-1 0,0 0 0,1 0 0,-1 0 0,0 1 0,0-1 0,0 0 0,0 0 0,0 0 0,0 1 0,1-1 0,-1 0 0,0 0 0,0 0 0,0 0 1,1 0-1,-1 1 0,0-1 0,0 0 0,0 0 0,1 0 0,-1 0 0,0 0 0,12 12 45,-12-12-48,27 18-15,-20-14-265,-1 0 0,1 0-1,-1 1 1,7 6-1,-12-9 209,1 0-1,0 0 1,-1 1-1,1-1 1,-1 0-1,0 0 1,0 1-1,0-1 1,0 1-1,0-1 1,0 1-1,-1 0 1,1-1-1,-1 1 1,1 0-1,-1 2 1,0-4 269,-2-1-84,0 0-1,0 0 1,0 0 0,1 0 0,-1-1 0,0 1 0,0 0 0,1-1-1,-1 0 1,0 1 0,1-1 0,-1 0 0,0 0 0,1 0 0,-1 0 0,1 0-1,0 0 1,-1 0 0,1-1 0,0 1 0,-1 0 0,1-1 0,0 1 0,0-1-1,0 1 1,1-1 0,-1 1 0,0-1 0,0 0 0,1 0 0,-1 1-1,1-3 1,24 2-91,14 0-180,31-3-462,-63 5 486,-1-1 0,0 0 0,0-1-1,-1 1 1,1-1 0,0 0 0,0 0 0,-1 0 0,1-1-1,4-3 1,-8 6 156,-1-1 0,1 1 1,-1 0-1,0 0 0,1-1 0,-1 1 0,1 0 0,-1-1 0,0 1 0,1 0 0,-1-1 0,0 1 0,1 0 0,-1-1 0,0 1 0,0-1 0,1 1 1,-1-1-1,0 1 0,0-1 0,0 1 0,0-1 0,1 1 0,-1-1 0,0 1 0,0-1 0,0 1 0,0-1 0,0 1 0,0-1 0,0 1 1,-1-1-1,1 1 0,0-1 0,0 1 0,0-1 0,0 1 0,-1 0 0,1-1 0,0 1 0,0-1 0,-1 1 0,1-1 0,0 1 0,-1 0 0,1-1 1,0 1-1,-1 0 0,1-1 0,-1 1 0,1 0 0,-1 0 0,1-1 0,-1 1 0,1 0 0,0 0 0,-1 0 0,0 0 0,0-1 59,-1 1 0,1-1 0,0 1 0,-1 0 0,1-1 0,-1 1 0,1 0 0,0 0 0,-1 0 0,1 0 0,-1 1 0,1-1 0,0 0 0,-1 0 0,1 1 0,-1-1 0,1 1 0,0 0 0,0-1 1,-1 1-1,-1 1-1,1 0 66,-1 1 0,1-1 0,0 1 0,0 0-1,1-1 1,-1 1 0,0 0 0,1 0 0,0 0-1,0 0 1,0 0 0,0 0 0,0 0 0,0 1-1,1-1 1,0 0 0,-1 0 0,1 1 0,1-1-1,0 6 1,-1-7-127,1 0-1,0 1 1,0-1-1,0 0 1,0 0-1,0 0 1,0 0 0,1 0-1,-1 0 1,1 0-1,0 0 1,-1 0-1,1-1 1,0 1-1,0 0 1,0-1-1,0 0 1,0 0-1,0 1 1,1-1 0,-1 0-1,0-1 1,1 1-1,-1 0 1,0-1-1,1 1 1,4-1-1,8 2-696,-1-1 0,1 0 0,0-2 1,0 1-1,0-2 0,26-6 0,-16-1-3488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21.6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5857,'0'0'15603,"39"0"-15603,-24 2-8,4-2-712,1 0-1272,-6 0-1801,-4 0-4185</inkml:trace>
  <inkml:trace contextRef="#ctx0" brushRef="#br0" timeOffset="223.56">45 107 8953,'0'0'9306,"73"0"-10418,-53 0-1688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19.8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79 294 7345,'0'0'13384,"-8"-12"-12456,-3-6-633,0 1 0,2-1 0,0-1 0,-6-20 0,12 28-188,-1-1 0,2 1 0,0-1-1,0 1 1,1-1 0,1-20 0,0 29-168,0 0 0,1 0 0,-1 0 1,1 0-1,0 0 0,0 0 0,0 0 1,0 1-1,1-1 0,-1 0 0,1 1 1,-1-1-1,1 1 0,0-1 0,0 1 0,0 0 1,1 0-1,-1 0 0,0 0 0,1 0 1,-1 0-1,1 1 0,0-1 0,-1 1 1,1-1-1,0 1 0,0 0 0,0 1 1,0-1-1,4 0 0,-2 0-410,1 0-1,-1 0 1,1 0 0,-1 1-1,1 0 1,-1 1-1,0-1 1,1 1 0,-1 0-1,1 0 1,-1 0 0,7 4-1,18 13-4969,-10-3-1682</inkml:trace>
  <inkml:trace contextRef="#ctx0" brushRef="#br0" timeOffset="462.79">1 159 7889,'0'0'5937,"14"-2"-5432,-13 2-497,139-11 560,-139 11-567,-1 1 0,1-1-1,-1 0 1,1 0 0,-1 0 0,1 1 0,-1-1 0,1 0-1,-1 1 1,1-1 0,-1 0 0,1 1 0,-1-1-1,1 1 1,-1-1 0,0 0 0,1 1 0,-1-1-1,0 1 1,1-1 0,-1 1 0,0-1 0,0 1 0,1 0-1,-1-1 1,0 1 0,0-1 0,0 1 0,0-1-1,0 1 1,0 0 0,0 0 0,1 26 325,-2-14 89,2-11-365,0 1 0,-1-1 0,1 1 0,0-1 0,0 1 0,0-1 1,1 1-1,-1-1 0,1 0 0,-1 0 0,1 0 0,0 1 0,0-2 0,0 1 0,0 0 0,0 0 0,0-1 0,0 1 0,0-1 0,5 2 1,-3-1-30,0 0 0,0-1 1,1 0-1,-1 1 0,0-2 1,1 1-1,-1-1 0,1 1 1,-1-1-1,1 0 1,6-2-1,-10 2 4,0 0 0,0-1-1,0 1 1,-1 0 0,1-1 0,0 1 0,0-1-1,-1 0 1,1 1 0,0-1 0,-1 1 0,1-1-1,-1 0 1,1 0 0,-1 1 0,1-1-1,-1 0 1,1 0 0,-1 0 0,0 1 0,1-1-1,-1 0 1,0 0 0,0 0 0,0 0 0,1 0-1,-1 0 1,0 0 0,0 1 0,-1-1 0,1 0-1,0 0 1,0 0 0,0 0 0,-1 0 0,1 0-1,0 1 1,-1-3 0,0 1 50,0-1 1,0 1-1,1 0 1,-1-1-1,-1 1 1,1 0-1,0 0 1,-1 0-1,1 0 1,-1 0-1,1 0 1,-1 0-1,-3-3 1,-28-4-267,18 8-3332</inkml:trace>
  <inkml:trace contextRef="#ctx0" brushRef="#br0" timeOffset="845">381 225 5553,'0'0'6358,"4"8"-5559,36 51 898,-41-85 1558,-14-8-1866,11 26-1198,1 0 1,-1 1-1,2-1 0,-1 0 0,1 0 1,0-1-1,-1-13 0,33 22-3230,52 15-4303,-52-11 822</inkml:trace>
  <inkml:trace contextRef="#ctx0" brushRef="#br0" timeOffset="1100.5">620 186 6545,'0'0'14607,"-9"2"-14111,-32 10-165,39-11-317,0 0 0,1 0 0,-1 0 0,1 0 0,-1 0-1,1 1 1,-1-1 0,1 0 0,0 1 0,-1-1 0,1 1 0,0 0 0,0-1 0,0 1 0,1 0 0,-1 0 0,0-1 0,0 1 0,1 0 0,0 0 0,-1 0 0,1 0 0,0 0 0,0 0 0,0 0 0,0 0 0,0 0 0,0 0 0,0-1 0,1 1 0,-1 0 0,1 0 0,-1 0 0,1 0 0,0 0 0,0-1-1,0 1 1,0 0 0,0-1 0,0 1 0,3 2 0,4-1-610,-1-1 0,1 0 0,1 0 0,-1-1 0,0 0 0,0 0 0,1-1 0,-1 0 0,0-1-1,0 1 1,1-2 0,13-3 0,3-4-3514</inkml:trace>
  <inkml:trace contextRef="#ctx0" brushRef="#br0" timeOffset="1466.25">742 233 6281,'0'0'8919,"9"-2"-8724,29-4 28,-36 5-182,0 0 1,0 0-1,0 0 1,0 0-1,0 0 1,0-1 0,0 1-1,0-1 1,0 1-1,-1-1 1,1 0-1,0 1 1,-1-1-1,0 0 1,1 0 0,-1 0-1,0 0 1,0 0-1,0-1 1,0 1-1,-1 0 1,1 0-1,0-4 1,-4 5 204,0 1-1,0-1 1,1 0 0,-1 1-1,0 0 1,0 0 0,0 0-1,0 0 1,-6 1 0,7-1-147,-1 1-1,1-1 1,-1 1 0,1 0 0,-1 0-1,1 0 1,0 0 0,-1 0 0,1 0 0,0 0-1,0 1 1,0-1 0,0 1 0,0 0-1,0 0 1,1 0 0,-1 0 0,0 0-1,1 0 1,0 0 0,-1 0 0,1 0-1,0 1 1,0-1 0,0 0 0,0 1 0,0 3-1,1-4-88,0 0 0,-1 0 0,1 0 0,0 0 0,1 0-1,-1-1 1,0 1 0,0 0 0,1 0 0,-1 0 0,1 0 0,0 0-1,-1-1 1,1 1 0,0 0 0,0-1 0,0 1 0,0 0 0,1-1 0,-1 0-1,0 1 1,1-1 0,-1 0 0,0 1 0,1-1 0,0 0 0,-1 0-1,1 0 1,0 0 0,-1-1 0,1 1 0,0 0 0,0-1 0,0 1-1,0-1 1,-1 0 0,5 1 0,7 0-1202,-1 0 1,1-1-1,0 0 0,14-2 1,2-2-6606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22.8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70 10178,'0'0'9306,"13"-8"-9150,-8 4-135,4-3-10,0 0 1,1 1-1,0 0 0,0 1 1,0 0-1,0 0 0,1 1 0,0 1 1,0-1-1,12 0 0,-20 3 13,0 1-67,0 0 0,0-1 0,0 1 0,1 0 0,-1 1 1,0-1-1,0 1 0,6 1 0,-8-2 20,0 1-1,0 0 1,0 0-1,0 0 1,-1 0-1,1 0 1,0 0-1,0 0 1,-1 0-1,1 0 1,0 0-1,-1 1 1,1-1-1,-1 0 1,0 0-1,1 1 1,-1-1-1,0 0 1,0 0-1,0 1 1,0-1-1,0 0 1,0 0 0,0 3-1,0 12-53,-1 1-1,-3 25 1,3-37 105,-1 0 1,1 0 0,-1 1 0,0-1 0,0 0-1,0 0 1,-1-1 0,0 1 0,0-1 0,0 1 0,-7 6-1,49-11 731,43-22-5364,-57 14-2097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23.3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149 93 5881,'0'0'13915,"-6"-13"-13078,-22-41-202,27 52-591,0 0 0,0 1 0,0-1 1,0 1-1,0-1 0,0 1 0,-1-1 0,1 1 0,0 0 1,-1 0-1,1-1 0,-1 1 0,1 0 0,-1 1 0,0-1 0,0 0 1,1 0-1,-1 1 0,0-1 0,0 1 0,0-1 0,1 1 1,-1 0-1,0 0 0,0 0 0,0 0 0,0 0 0,0 0 0,-3 1 1,1 0-8,0 0 1,0 1 0,0 0 0,0-1 0,0 1-1,0 1 1,1-1 0,-1 0 0,-3 4 0,5-3-29,0-1 0,-1 1 1,1 0-1,0 0 1,1 0-1,-1 0 1,0 0-1,1 1 0,0-1 1,0 0-1,0 1 1,0-1-1,1 1 0,-1-1 1,1 1-1,0 3 1,-1-5-22,1 0 1,0 1-1,0-1 0,1 0 1,-1 0-1,0 0 1,1 1-1,-1-1 1,1 0-1,0 0 1,0 0-1,0 0 1,0 0-1,0 0 1,0 0-1,0-1 0,1 1 1,-1 0-1,1-1 1,-1 1-1,1-1 1,0 1-1,0-1 1,-1 0-1,3 2 1,0-2-29,0 1-1,0-1 1,-1 0 0,1 0 0,0 0 0,0 0 0,0-1 0,0 0 0,1 0-1,-1 0 1,0 0 0,0-1 0,0 1 0,0-1 0,-1 0 0,1 0 0,0-1-1,0 1 1,0-1 0,-1 0 0,1 0 0,-1 0 0,1 0 0,-1 0 0,0-1-1,0 0 1,0 1 0,0-1 0,-1 0 0,1-1 0,2-3 0,-5 6 40,0 1 1,0 0 0,1 0 0,-1-1 0,0 1 0,0 0-1,0 0 1,0 0 0,0-1 0,1 1 0,-1 0-1,0 0 1,0 0 0,0 0 0,0 0 0,1-1-1,-1 1 1,0 0 0,0 0 0,1 0 0,-1 0-1,0 0 1,0 0 0,1 0 0,-1 0 0,0 0 0,0 0-1,1 0 1,-1 0 0,0 0 0,0 0 0,1 0-1,-1 0 1,0 0 0,0 0 0,0 0 0,1 0-1,-1 0 1,0 0 0,1 1 0,6 10 12,2 15-13,-6-13-1018,0 0-1,1-1 1,1 1-1,0-1 1,1 0-1,11 18 1,-8-19-5845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23.5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9337,'0'0'8410,"9"0"-12507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26.7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 22 8697,'0'0'5766,"-11"-10"-3847,10 11-1860,0 1 1,0-1 0,0 0 0,0 1-1,0-1 1,0 0 0,1 1-1,-1-1 1,0 1 0,1-1 0,-1 1-1,1 0 1,-1-1 0,1 1 0,0-1-1,0 1 1,0 0 0,0-1 0,0 1-1,0 0 1,1 2 0,-1 0-37,1-1-1,-1 1 1,1-1 0,-1 0 0,1 1 0,0-1 0,1 0 0,-1 0-1,4 6 1,-3-6-72,1-1 0,0 0 0,0 0 0,0 0 0,0 0 0,0 0 0,0 0 0,0-1 0,1 1 0,-1-1 0,1 0 0,-1 0 0,1 0 0,-1-1 0,1 1 0,0-1 0,-1 0 0,1 0 0,-1 0 0,1 0 0,0-1 0,-1 0 1,1 1-1,-1-1 0,1-1 0,3 0 0,-5 1 18,1-1 1,0 1 0,0 0 0,-1-1 0,1 0 0,0 1 0,-1-1-1,0 0 1,1 0 0,-1-1 0,0 1 0,0 0 0,0-1-1,-1 1 1,1-1 0,0 0 0,-1 1 0,0-1 0,0 0 0,0 0-1,0 0 1,0 0 0,0 0 0,-1 0 0,1 0 0,-1 0 0,0 0-1,0 0 1,0 0 0,-1-6 0,0 8 44,1 0 1,-1-1-1,1 1 1,-1 0-1,1 0 1,-1 0-1,1 0 0,-1-1 1,0 1-1,0 0 1,0 0-1,0 0 0,0 1 1,0-1-1,0 0 1,0 0-1,0 0 1,0 1-1,0-1 0,0 1 1,0-1-1,-1 1 1,1-1-1,0 1 1,0 0-1,-1-1 0,1 1 1,0 0-1,-1 0 1,1 0-1,0 0 0,0 0 1,-1 0-1,1 0 1,-2 1-1,0 0-399,-1-1-1,1 1 1,-1 0 0,1 0-1,0 0 1,-1 0 0,1 1-1,0-1 1,0 1 0,0 0-1,-5 4 1,-2 4-5104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27.1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 23 7681,'0'0'8131,"-6"12"-7941,-20 40-94,25-50-78,0 0 1,0 0-1,0 0 1,0 1 0,0-1-1,1 0 1,-1 1-1,1-1 1,0 0 0,0 1-1,-1-1 1,2 0-1,-1 1 1,0-1-1,0 0 1,1 1 0,-1-1-1,2 4 1,-1-5-10,0 1 1,0-1-1,0 1 1,1-1-1,-1 1 1,0-1-1,1 0 1,-1 0 0,1 0-1,-1 0 1,1 0-1,-1 0 1,1 0-1,0 0 1,-1-1-1,1 1 1,0-1-1,2 1 1,0 0-7,-1 0 0,1-1 0,-1 0 0,1 0 0,0 0 0,-1 0 0,1 0 0,-1-1-1,1 1 1,-1-1 0,1 0 0,-1 0 0,1-1 0,-1 1 0,0-1 0,0 1 0,1-1 0,-1 0 0,5-5 0,-5 3 18,-1 0 0,1 0 0,-1 0-1,0 0 1,0-1 0,0 1 0,-1-1 0,1 0 0,-1 1 0,0-1 0,-1 0-1,1 0 1,-1 0 0,0-8 0,0 10-124,-1 1 1,1-1-1,0 0 1,-1 1-1,1-1 1,-1 1-1,0 0 1,0-1-1,0 1 1,0 0-1,0-1 1,-1 1-1,1 0 1,-1 0-1,1 0 1,-1 0-1,0 0 0,1 0 1,-1 1-1,0-1 1,0 1-1,-1-1 1,1 1-1,0 0 1,0-1-1,-1 1 1,1 1-1,-1-1 1,-2-1-1,-9 2-4087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27.6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30 9522,'0'0'6356,"8"-3"-6206,-3 0-229,34-15 578,-37 17-574,1 0 0,0 0-1,-1 0 1,1 1-1,-1-1 1,1 1-1,0 0 1,0 0 0,-1 0-1,1 0 1,0 0-1,0 0 1,-1 1-1,1-1 1,4 3 0,-7-3 11,1 0 0,0 0 0,-1 0 0,1 0 0,-1 1 0,1-1 0,-1 0 1,1 1-1,-1-1 0,1 0 0,-1 1 0,1-1 0,-1 0 0,1 1 0,-1-1 0,0 1 0,1-1 1,-1 1-1,0-1 0,1 1 0,-1-1 0,0 1 0,0 0 0,0-1 0,1 1 0,-1-1 1,0 1-1,0-1 0,0 1 0,0 0 0,0-1 0,0 1 0,0-1 0,0 1 0,0 0 0,0-1 1,0 1-1,-1-1 0,1 1 0,0-1 0,0 1 0,0 0 0,-1-1 0,1 1 0,0-1 1,-1 1-1,1-1 0,-1 1 0,0-1 0,-29 24-1563,15-13 1381,57-6-976,-36-2 1072,-1 0-1,1 0 1,-1 0 0,0 1 0,0 0 0,0 0 0,-1 0 0,1 0 0,-1 1-1,0 0 1,0 0 0,-1 0 0,1 0 0,-1 1 0,-1-1 0,1 1-1,-1 0 1,1-1 0,-2 1 0,1 0 0,1 9 0,-4-14 322,1 0 0,0 0 0,-1 0-1,0-1 1,1 1 0,-1 0 0,1 0 0,-1-1 0,0 1 0,1 0 0,-1-1 0,0 1 0,0-1 0,0 1-1,1-1 1,-1 1 0,0-1 0,0 0 0,0 1 0,0-1 0,0 0 0,0 0 0,0 0 0,0 1 0,0-1-1,0 0 1,1 0 0,-1-1 0,0 1 0,0 0 0,0 0 0,0 0 0,-1-1 0,-2 1 58,1 0 1,-1-1-1,0 1 1,1-1-1,-1 0 1,1 0 0,-1 0-1,-3-3 1,5 3-416,-7-8 189,6 2-4141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29.9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7113,'0'0'8274,"0"62"-8018,5-35-40,5 5-216,-5 0 48,4-2-48,1 0-32,-5-6-368,5 1-816,-5-8-993,-1-7-952</inkml:trace>
  <inkml:trace contextRef="#ctx0" brushRef="#br0" timeOffset="1069.43">132 25 6857,'0'0'10674,"1"16"-10293,-1-7-374,7 81 192,-5-76-244,0 0 1,1 0-1,1 0 1,0-1-1,6 14 1,-8-19 12,-2-8 29,1 1-1,-1 0 1,0 0-1,0 0 1,0 0 0,0-1-1,1 1 1,-1 0-1,0 0 1,1-1-1,-1 1 1,1 0 0,-1 0-1,1-1 1,-1 1-1,1 0 1,0-1-1,-1 1 1,1-1-1,1 1 1,-2-1 8,1-1-1,-1 0 1,1 0 0,-1 0-1,1-1 1,-1 1 0,1 0-1,-1 0 1,0 0 0,0 0-1,1 0 1,-1 0 0,0 0-1,0-1 1,0 1 0,0 0-1,-1 0 1,1 0 0,0-2-1,0 1-1,-1-15 23,0-32 123,1 48-144,0-1-1,0 0 1,1 0 0,-1 0 0,0 1 0,1-1 0,-1 0 0,1 0-1,-1 1 1,1-1 0,0 0 0,0 1 0,0-1 0,0 1 0,0-1 0,0 1-1,0-1 1,0 1 0,3-2 0,-3 2-10,1 0 1,-1 1-1,0-1 1,0 1-1,1 0 1,-1-1-1,0 1 0,1 0 1,-1 0-1,0 0 1,1 0-1,-1 0 1,0 0-1,1 0 0,-1 0 1,0 1-1,1-1 1,-1 0-1,0 1 1,0-1-1,1 1 0,0 0 1,1 1-24,0 0 1,-1 0-1,1 1 1,-1-1-1,0 0 0,0 1 1,0 0-1,4 4 1,-1 3-78,0 1 1,0-1 0,-1 1 0,4 14-1,-3 18-561,-5-42 672,0-1 1,0 1-1,0 0 0,-1 0 1,1 0-1,0-1 0,0 1 1,0 0-1,-1 0 1,1 0-1,0-1 0,-1 1 1,1 0-1,-1-1 0,1 1 1,-1 0-1,1-1 0,-2 2 1,2-2 25,-1 0 0,0 0 0,1 0 0,-1 0 0,0 0 0,0 0 1,1 0-1,-1 0 0,0 0 0,0 0 0,1 0 0,-1-1 0,0 1 0,1 0 0,-1-1 1,0 1-1,1 0 0,-1-1 0,0 1 0,1-1 0,-1 1 0,1 0 0,-1-1 0,1 0 1,-1 0-1,-2-2 56,1 1 1,0-1-1,0 0 1,0 0 0,1 0-1,-1 0 1,1 0-1,-1 0 1,1 0 0,0-1-1,1 1 1,-2-6-1,-2-44 118,5 53-224,-1-1 1,1 0-1,-1 0 1,1 0-1,0 1 0,-1-1 1,1 0-1,0 0 1,-1 1-1,1-1 1,0 1-1,0-1 1,0 1-1,0-1 1,0 1-1,0-1 0,-1 1 1,1 0-1,0 0 1,0-1-1,0 1 1,0 0-1,0 0 1,0 0-1,1 0 1,38-4-718,-28 3 373,201-12-2184,-212 13 2622,0 0 0,0 0-1,1 0 1,-1 0-1,0 0 1,0 0 0,0-1-1,0 1 1,0 0-1,0-1 1,0 1 0,0-1-1,0 1 1,-1-1-1,1 0 1,0 1 0,0-1-1,0 0 1,-1 0-1,1 1 1,0-1 0,0 0-1,0-2 1,-1 3-17,0-1 1,0 1 0,0-1-1,0 1 1,0-1-1,0 1 1,-1-1 0,1 1-1,0-1 1,0 1 0,0-1-1,-1 1 1,1 0-1,0-1 1,-1 1 0,1-1-1,0 1 1,-1 0 0,1-1-1,-1 1 1,1 0-1,0-1 1,-1 1 0,1 0-1,-1 0 1,1-1 0,-1 1-1,1 0 1,-1 0-1,1 0 1,-1 0 0,1-1-1,-1 1 1,1 0 0,-1 0-1,1 0 1,-1 0-1,1 0 1,-1 1 0,1-1-1,-1 0 1,0 0 0,-17 0 304,14-1-228,0 1 0,-1-1 0,1 1 1,-1 0-1,1 0 0,-1 1 0,1-1 0,-1 1 0,1 0 0,0 1 0,-1-1 0,1 1 0,0-1 0,0 1 0,-6 4 0,10-6-135,0 1 0,0-1 0,0 1-1,0-1 1,0 1 0,0-1 0,0 1 0,0-1 0,0 1 0,0-1 0,0 1-1,0-1 1,0 1 0,0-1 0,0 1 0,1-1 0,-1 1 0,0-1-1,0 0 1,0 1 0,1-1 0,-1 1 0,0-1 0,1 0 0,-1 1-1,0-1 1,1 0 0,-1 1 0,1-1 0,-1 0 0,1 1 0,17 13 37,-13-10-35,22 16-81,-19-15-65,0 1 0,0 0 0,-1 0 0,7 8-1,-11-11 114,-1 0-1,0 0 1,0 0-1,0 0 1,-1 1-1,1-1 1,-1 1-1,0-1 1,0 1-1,0-1 0,0 1 1,-1-1-1,1 1 1,-1 6-1,0-10 39,1 1-1,-1-1 1,0 1-1,0-1 1,0 1-1,0-1 0,0 1 1,0-1-1,0 1 1,0-1-1,0 0 1,0 1-1,0-1 1,0 1-1,0-1 0,0 1 1,0-1-1,0 1 1,0-1-1,-1 1 1,1-1-1,0 0 1,0 1-1,0-1 0,-1 1 1,1-1-1,0 0 1,-1 1-1,1-1 1,0 0-1,-1 1 1,1-1-1,0 0 0,-1 1 1,1-1-1,-1 0 1,1 0-1,-1 0 1,1 0-1,-1 1 1,1-1-1,0 0 0,-1 0 1,1 0-1,-1 0 1,1 0-1,-1 0 1,1 0-1,-1 0 0,1 0 1,-1 0-1,1 0 1,-1 0-1,1-1 1,-1 1-1,1 0 1,0 0-1,-1 0 0,1-1 1,-1 1-1,0-1 1,-1 0 17,0-1 0,0 0 0,-1 0 1,1 0-1,0 0 0,0 0 0,1 0 0,-1 0 0,-2-4 1,3 5-77,1-1 0,-1 1 1,1 0-1,-1 0 0,1 0 1,-1-1-1,1 1 0,0 0 1,0 0-1,0-1 1,-1 1-1,1 0 0,0-1 1,0 1-1,1 0 0,-1-1 1,0 1-1,0 0 0,1 0 1,-1-1-1,1 1 0,-1 0 1,1 0-1,-1 0 0,1 0 1,0-1-1,-1 1 0,1 0 1,0 0-1,0 0 0,0 1 1,2-3-1,2 0-423,1-1 1,0 1-1,0 0 0,0 0 1,9-2-1,2-2-819,17-6-1321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43.5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82 1 3816,'0'0'15621,"-1"0"-15607,1 0-1,0 1 0,0-1 1,0 0-1,0 0 0,0 0 1,0 0-1,0 0 1,0 0-1,0 0 0,0 0 1,0 0-1,0 0 0,-1 0 1,1 0-1,0 0 0,0 1 1,0-1-1,0 0 0,0 0 1,0 0-1,0 0 0,0 0 1,-1 0-1,1 0 1,0 0-1,0 0 0,0 0 1,0 0-1,0 0 0,0 0 1,0 0-1,-1 0 0,1 0 1,0-1-1,0 1 0,0 0 1,0 0-1,0 0 1,0 0-1,0 0 0,0 0 1,0 0-1,-1 0 0,1 0 1,0 0-1,0 0 0,0 0 1,0-1-1,0 1 0,0 0 1,0 0-1,0 0 1,0 0-1,0 0 0,0 0 1,0 0-1,0 0 0,0-1 1,39 95 359,18 84-822,-47-155-364,-8-23 381,-3-13 433,-1 7 10,1 0 0,-1 1 0,0-1 0,0 1 0,0 0 1,-1 0-1,0 0 0,0 0 0,0 0 0,-1 0 0,0 1 0,0 0 1,0-1-1,0 2 0,0-1 0,-1 0 0,0 1 0,0 0 0,0 0 1,0 0-1,0 1 0,0 0 0,-1 0 0,1 0 0,-1 0 0,0 1 1,-8-1-1,12 2-8,-1 1 0,1-1 1,-1 1-1,1 0 1,0 0-1,-1 0 0,1 0 1,0 0-1,0 0 0,-1 1 1,1-1-1,0 1 1,0-1-1,1 1 0,-1 0 1,0 0-1,0 0 0,1 0 1,-1 0-1,1 0 1,0 0-1,0 0 0,-1 3 1,-1 1 44,0 0 0,1 0 1,0 0-1,0 0 1,1 1-1,-1-1 0,0 13 1,2-11-52,0-2 41,0-1 1,0 1 0,0-1-1,1 1 1,0-1 0,0 1-1,3 8 1,-3-13-61,0 1 1,0 0-1,0-1 0,0 1 0,0-1 1,1 0-1,-1 1 0,1-1 0,-1 0 1,1 0-1,0 0 0,-1 0 1,1 0-1,0 0 0,-1 0 0,1 0 1,0-1-1,0 1 0,0-1 1,0 0-1,0 1 0,0-1 0,0 0 1,0 0-1,0 0 0,2-1 0,1 1-452,-1 0 0,1-1-1,0 1 1,0-1-1,-1 0 1,1-1 0,-1 1-1,1-1 1,-1 0-1,1 0 1,-1-1-1,0 1 1,5-4 0,14-11-7326</inkml:trace>
  <inkml:trace contextRef="#ctx0" brushRef="#br0" timeOffset="221.55">225 210 6361,'0'0'8418,"5"34"-8098,1-19-264,0-1 72,5-2-128,1 0-264,-7-1-985,13-8-351,-7-3-960,-5 0-2129</inkml:trace>
  <inkml:trace contextRef="#ctx0" brushRef="#br0" timeOffset="1121.74">351 184 4729,'0'0'11678,"-10"4"-11467,-28 11-38,28-7 1,14-3-95,15-2-99,-18-3 6,3 1-14,1 0 1,-1 0-1,0 0 0,0 0 1,0 1-1,0 0 1,0 0-1,-1 0 1,1 0-1,0 0 1,-1 1-1,0 0 0,1-1 1,-1 1-1,0 0 1,0 1-1,-1-1 1,1 0-1,-1 1 1,0 0-1,0-1 0,0 1 1,0 0-1,0 0 1,-1 0-1,0 0 1,0 1-1,0-1 1,0 0-1,-1 0 0,0 0 1,0 9-1,0-12 39,0-1 0,0 1-1,0-1 1,0 1-1,0-1 1,-1 1-1,1-1 1,0 1 0,0-1-1,-1 1 1,1-1-1,0 0 1,-1 1 0,1-1-1,0 1 1,-1-1-1,1 0 1,0 1-1,-1-1 1,1 0 0,-1 1-1,1-1 1,-1 0-1,1 0 1,-1 1 0,1-1-1,-1 0 1,1 0-1,-1 0 1,1 0-1,-1 0 1,1 0 0,-1 0-1,1 0 1,-1 0-1,1 0 1,-1 0 0,1 0-1,-1 0 1,1 0-1,-1 0 1,1 0 0,-1-1-1,1 1 1,-1 0-1,1 0 1,-1-1-1,1 1 1,-1 0 0,1-1-1,-2 0 50,0 0-1,0 0 0,1 1 1,-1-1-1,0-1 0,1 1 1,-1 0-1,1 0 0,0 0 1,-1-1-1,1 1 0,0-1 1,0 1-1,0-1 0,-2-2 1,2 1-58,1 0 1,-1 1-1,1-1 0,-1 0 1,1 0-1,0 1 1,0-1-1,0 0 0,1 0 1,-1 0-1,0 1 1,1-1-1,0 0 1,0 1-1,0-1 0,0 1 1,0-1-1,0 1 1,1-1-1,-1 1 0,1 0 1,-1 0-1,1-1 1,0 1-1,0 0 1,0 1-1,0-1 0,4-2 1,1-3 9,-1 1-66,0 1-1,0-1 1,-1-1-1,1 1 0,-1-1 1,-1 0-1,1 0 1,-1-1-1,-1 1 0,1-1 1,-1 0-1,0 0 1,-1 0-1,0 0 0,0 0 1,-1 0-1,0-12 471,-1 21-282,0 0 0,0 0 0,0 0 1,0-1-1,0 1 0,0 0 0,0 0 0,0 0 0,0 0 0,1 0 0,-1 0 0,0-1 0,1 1 0,-1 0 0,0 0 0,1 0 0,0 1 0,4 2 1260,-2-16-396,-1 31-955,1 0-1,1-1 0,1 1 0,0-1 0,1 0 0,16 32 1,5 16-2825,-21-55 1540,0 2-3706</inkml:trace>
  <inkml:trace contextRef="#ctx0" brushRef="#br0" timeOffset="1328.09">459 268 4336,'0'0'10699,"98"-21"-10699,-58 21-800,0 0-1969,0 0-7529</inkml:trace>
  <inkml:trace contextRef="#ctx0" brushRef="#br0" timeOffset="2121.82">1066 349 8105,'0'0'8722,"-5"-11"-6964,-19-36-293,3-2 0,-25-83 0,42 116-1411,1 0-1,0-1 1,1-24 0,2 40-70,0 1 0,0-1 0,0 1 0,0-1 0,0 1 0,0 0 0,0-1 0,0 1 1,1-1-1,-1 1 0,0 0 0,0-1 0,1 1 0,-1-1 0,0 1 0,0 0 0,1-1 0,-1 1 0,0 0 1,1 0-1,-1-1 0,1 1 0,-1 0 0,0 0 0,1 0 0,-1-1 0,1 1 0,-1 0 0,0 0 1,2 0-1,19-1-332,18 11-861,-33-8 760,0 1-1,0 0 0,-1 1 0,0 0 1,1 0-1,-1 0 0,-1 0 1,1 1-1,0-1 0,4 8 1,13 18-4718,-21-28 4747,16 24-7200</inkml:trace>
  <inkml:trace contextRef="#ctx0" brushRef="#br0" timeOffset="2661.35">969 213 5553,'0'0'9187,"16"-2"-9141,135-5-1111,-150 7 950,0 0 1,0 0-1,0 1 0,0-1 1,0 0-1,0 1 0,0-1 1,0 1-1,0-1 0,0 1 1,0 0-1,0-1 0,0 1 1,-1 0-1,1-1 0,0 1 1,0 0-1,-1 0 1,1 0-1,0 0 0,-1 0 1,1 0-1,0 1 0,11 33-569,1-3 740,-3-18-19,-7-11 35,-1-1 1,1 1-1,-1 0 0,0 0 1,0 0-1,0 0 0,-1 0 1,1 1-1,-1-1 1,2 6-1,-2-10 36,-1 1-1,0 0 1,1 0-1,-1-1 1,0 1-1,1 0 1,-1-1-1,0 1 1,0 0-1,1-1 1,-1 1-1,0 0 1,0-1-1,1 1 1,-1 0-1,0-1 1,0 1-1,0-1 1,0 1 0,0 0-1,0-1 1,0 1-1,0-1 1,0 1-1,0-1 1,0 1-1,0 0 1,0-1-1,0 1 1,0-1-1,0 0 1,-12-35 1648,9 28-1427,0-1 0,0 0 0,1 0-1,0 0 1,-1-16 0,34 24-681,-12 4-1221,0 0 0,0 0-1,0 2 1,-1 1 0,19 7 0,-34-11 1076,15 4-4271</inkml:trace>
  <inkml:trace contextRef="#ctx0" brushRef="#br0" timeOffset="2951.27">1410 230 4032,'0'0'13006,"-10"7"-12466,-29 22-152,38-28-376,-1 0 0,1 0 0,0 1 0,-1-1 0,1 0 1,0 0-1,0 1 0,0-1 0,0 1 0,0-1 0,1 1 0,-1-1 1,0 1-1,1 0 0,-1-1 0,1 1 0,-1 0 0,1-1 0,0 1 1,-1 0-1,1-1 0,0 1 0,0 0 0,1 0 0,-1-1 0,0 1 1,1 0-1,-1 0 0,0-1 0,2 2 0,-1 0-7,0-1 0,1 0-1,-1 0 1,1 0 0,0 0 0,-1 0-1,1 0 1,0 0 0,0-1 0,0 1-1,1-1 1,-1 1 0,0-1 0,0 0-1,1 0 1,2 1 0,-3-1 1,-1 0 0,1-1 0,-1 1 0,1-1 0,0 1-1,-1-1 1,1 0 0,0 1 0,-1-1 0,1 0 0,0 0 0,0 0 0,-1 0 0,1-1 0,0 1 0,-1 0-1,1-1 1,0 1 0,-1-1 0,1 0 0,-1 1 0,1-1 0,-1 0 0,1 0 0,-1 0 0,0 0-1,1 0 1,-1 0 0,0-1 0,0 1 0,0 0 0,0-1 0,1-1 0,0-1-1,-1 0-1,0 0 1,0 0 0,0 0 0,-1-1-1,1 1 1,-1 0 0,0 0 0,0-1-1,0 1 1,-1 0 0,-2-8 0,3 11-25,0 0 0,0 0 0,-1 0 0,1 0 0,0 0 0,-1 0 0,1 0 0,-1 0 0,1 0 0,-1 0 0,0 0 0,1 0 0,-1 0 0,0 0 0,0 0 0,0 1 1,1-1-1,-1 0 0,0 1 0,0-1 0,0 1 0,0-1 0,0 1 0,-2-1 0,-17-2-4892,14 3-826</inkml:trace>
  <inkml:trace contextRef="#ctx0" brushRef="#br0" timeOffset="3563.84">1530 262 8057,'0'0'7191,"1"14"-6896,4 47-74,-5-58-159,0 1-1,1 0 1,-1-1-1,1 1 0,0-1 1,0 1-1,0-1 1,1 1-1,-1-1 1,1 0-1,0 1 0,0-1 1,0 0-1,4 4 1,-5-7 688,-1-16 365,-1 9-841,0 0 0,1-1 0,0 1 0,1 0 0,-1 0 1,2 0-1,-1-1 0,1 1 0,0 0 0,0 0 0,1 1 1,0-1-1,0 1 0,0-1 0,5-6 0,-7 13-276,-1-1-1,1 0 0,-1 1 0,1-1 0,0 0 1,-1 1-1,1-1 0,0 1 0,-1-1 0,1 1 1,0-1-1,0 1 0,-1 0 0,1-1 0,0 1 1,0 0-1,0-1 0,0 1 0,0 0 0,-1 0 1,1 0-1,0 0 0,0 0 0,0 0 0,0 0 1,0 0-1,0 0 0,-1 0 0,1 1 0,0-1 1,0 0-1,0 1 0,0-1 0,-1 0 0,1 1 1,0-1-1,0 1 0,-1-1 0,1 1 0,0 0 1,-1-1-1,1 1 0,-1 0 0,2 0 0,4 7-233,0 0-1,0 0 1,7 14-1,6 7-812,-18-77 1005,-1 36 88,-1 9-19,1 0 0,-1 0 0,1 0 1,0 0-1,0 0 0,1 0 0,-1 0 1,1 0-1,-1 0 0,1 1 0,0-1 1,2-5-1,-3 8-18,1-1 0,-1 1 0,0 0 0,1-1 0,-1 1 0,1 0 0,-1 0 0,1 0 0,-1-1 0,1 1 0,-1 0 0,0 0 0,1 0 0,-1 0 0,1 0 0,-1 0 0,1 0 0,-1 0 0,1 0 0,-1 0 0,1 0 0,-1 0 0,1 0 0,-1 0 0,1 0 0,-1 1 0,1-1 0,-1 0-1,1 0 1,-1 0 0,0 1 0,1-1 0,-1 0 0,1 1 0,-1-1 0,0 0 0,1 1 0,-1-1 0,0 0 0,0 1 0,1-1 0,-1 1 0,0-1 0,0 1 0,1 0 0,12 27 93,-9-18-69,28 43-1009,-7-18-3582,-8-15-1768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53.4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9 11322,'0'0'10441,"13"-1"-10268,6-1-170,57-4 186,-68 6-202,-1 0 0,1 0 1,-1 1-1,1 0 0,-1 0 0,0 1 1,0 0-1,9 3 0,-15-5-5,0 0 0,0 1 0,0-1 0,0 1-1,0-1 1,0 1 0,0-1 0,0 1 0,0 0-1,0 0 1,0-1 0,0 1 0,-1 0 0,1 0 0,0 0-1,-1 0 1,1 0 0,0 0 0,-1 0 0,1 0-1,-1 0 1,1 0 0,-1 0 0,0 0 0,0 1 0,1-1-1,-1 0 1,0 0 0,0 0 0,0 0 0,0 1-1,0-1 1,0 0 0,-1 0 0,1 0 0,0 0-1,-1 1 1,1-1 0,0 0 0,-1 0 0,1 0 0,-1 0-1,0 0 1,-1 2 0,-1 0-58,0 1 0,-1 0 0,1-1 0,-1 0 0,0 1 0,0-2 0,0 1 0,-9 4 0,-46 12-564,58-19 389,28 8-362,-11-6 589,-1 3-296,1-1 1,25 13-1,-36-15 232,-1 1 0,1-1 1,-1 0-1,0 1 0,0 0 0,0 0 0,0 0 0,-1 1 0,1-1 0,-1 1 0,0 0 0,0 0 1,3 6-1,-5-9 107,0 0 0,-1 0 0,1 0 0,-1 1 0,0-1 0,1 0 0,-1 0 0,0 0 0,0 1 1,0-1-1,0 0 0,0 0 0,0 0 0,0 1 0,0-1 0,0 0 0,0 0 0,-1 0 0,1 1 0,0-1 1,-1 0-1,1 0 0,-1 0 0,0 0 0,-1 2 0,1-1 39,-1-1 0,0 0-1,1 0 1,-1 0 0,0 0 0,0 0-1,0 0 1,0 0 0,0-1 0,0 1 0,0-1-1,0 1 1,-4-1 0,-1 1 121,0-1 1,1 0-1,-1 0 1,0-1 0,1 0-1,-1 0 1,1-1-1,-13-4 1,16 5-41,1-1-1,-1 0 1,0 1 0,1-1 0,-1 0 0,1 0 0,-5-5-1,7 7-128,0-1 0,0 1-1,-1 0 1,1-1-1,0 1 1,0 0-1,0-1 1,-1 1-1,1 0 1,0-1-1,0 1 1,0-1 0,0 1-1,0 0 1,0-1-1,0 1 1,0-1-1,0 1 1,0 0-1,0-1 1,0 1 0,0-1-1,0 1 1,1 0-1,-1-1 1,0 0-1,1 1-55,0-1-1,0 0 1,-1 0-1,1 1 1,0-1 0,0 1-1,0-1 1,0 1-1,0-1 1,0 1-1,0 0 1,0-1-1,0 1 1,0 0-1,2 0 1,100-16-7586,-91 14 5658,22-2-7288</inkml:trace>
  <inkml:trace contextRef="#ctx0" brushRef="#br0" timeOffset="285.16">411 93 6545,'0'0'12307,"0"10"-11331,4-1-136,-4 3-168,4 3-344,0 0-168,-1 0-160,1 1-120,0-3-968,3 4-1001,1-4-2992</inkml:trace>
  <inkml:trace contextRef="#ctx0" brushRef="#br0" timeOffset="777.28">547 118 8225,'0'0'9285,"0"9"-8699,0-5-603,-1 2-5,1 1 0,0 0 1,1 0-1,0-1 0,0 1 0,0 0 0,1-1 0,0 1 0,0-1 1,0 0-1,1 0 0,5 9 0,-8-15 17,0 0 0,0 0-1,0 0 1,1 0 0,-1 0 0,0 0 0,0 0-1,0-1 1,0 1 0,0 0 0,0 0 0,0 0-1,0 0 1,0 0 0,0 0 0,0 0 0,0 0-1,0 0 1,0 0 0,0 0 0,1 0 0,-1 0-1,0 0 1,0 0 0,0 0 0,0 0 0,0 0-1,0 0 1,0 0 0,0 0 0,0 0 0,1 0-1,-1 0 1,0 0 0,0 0 0,0 0 0,0 0-1,0 0 1,0 0 0,0 0 0,0 0 0,0 0-1,1 0 1,-1 0 0,0 0 0,0 0 0,0 0-1,0 0 1,0 0 0,0 0 0,0 0 0,0 0-1,0 0 1,0 1 0,0-1 0,0 0 0,0 0-1,0 0 1,0 0 0,1 0 0,-1 0 0,0 0-1,-2-14 448,-7-25 991,8 32-1274,1 7-158,-2-9 236,0 0 0,0 0-1,0-15 1,2 23-190,16 5-18,-8 1-130,-1-1 0,0 1-1,0 1 1,0-1 0,-1 1-1,1 1 1,-1-1 0,5 9-1,1 1-2021,-1 1 0,12 26 0,-15-29-4568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52.4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4368,'0'0'13491,"61"4"-13395,-39-2-96,8 2-1232,-7-2-2713,-4 0-4625</inkml:trace>
  <inkml:trace contextRef="#ctx0" brushRef="#br0" timeOffset="205.22">91 86 9658,'0'0'6585,"60"-6"-6161,-30 6-424,-7 0-312,-1 0-2521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0:50.9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110 69 5673,'0'0'10793,"-2"-9"-9525,-6-29-201,8 37-1007,0 0-1,0 0 1,0 1-1,0-1 1,-1 0-1,1 0 1,0 0-1,0 0 1,-1 0-1,1 0 1,-1 1 0,1-1-1,-1 0 1,1 0-1,-1 1 1,1-1-1,-1 0 1,0 1-1,0-1 1,1 0-1,-1 1 1,0-1-1,0 1 1,1-1-1,-1 1 1,0 0-1,0-1 1,0 1 0,0 0-1,0-1 1,0 1-1,1 0 1,-1 0-1,0 0 1,0 0-1,0 0 1,0 0-1,0 0 1,0 0-1,0 0 1,0 1-1,-1 0 1,-1 0-18,0 0 1,0 1-1,0-1 1,1 1-1,-1 0 0,0 0 1,1 0-1,-5 4 1,2 2-10,0-1 1,0 1 0,1 0-1,0 0 1,1 0 0,-1 1-1,1 0 1,1-1 0,0 1 0,0 0-1,1 0 1,0 0 0,0 0-1,2 17 1,-1-24-69,0 0 0,0 1 0,1-1 0,-1 0 0,1 0 0,-1 0 0,1 1-1,0-1 1,0 0 0,0 0 0,0 0 0,0 0 0,0-1 0,0 1 0,1 0 0,-1 0 0,1-1 0,-1 1 0,1-1 0,0 1 0,-1-1 0,1 0-1,0 1 1,0-1 0,0 0 0,0 0 0,0-1 0,0 1 0,0 0 0,1-1 0,-1 1 0,0-1 0,0 1 0,0-1 0,1 0 0,-1 0 0,0 0-1,0-1 1,0 1 0,1 0 0,-1-1 0,0 1 0,0-1 0,0 0 0,0 0 0,0 0 0,0 0 0,0 0 0,0 0 0,0 0 0,0-1 0,-1 1-1,1-1 1,0 1 0,-1-1 0,0 0 0,1 0 0,-1 1 0,2-5 0,2-4-13,-1 1-1,0-1 1,-1 0 0,0 0 0,0 0-1,-1 0 1,-1 0 0,0-1 0,0-17-1,-1 28 127,0 21 12,1-15-59,-1-1-1,1 0 0,0 0 1,1 0-1,-1 0 0,1 0 0,0-1 1,0 1-1,0 0 0,1-1 1,0 1-1,0-1 0,0 0 1,0 0-1,0 0 0,1-1 0,4 5 1,-1-3-289,0 1-1,0-1 1,15 8 0,-16-10-625,1 0-1,0 0 1,0-1 0,10 3 0,-1-3-4145</inkml:trace>
  <inkml:trace contextRef="#ctx0" brushRef="#br0" timeOffset="222.23">242 86 6849,'0'0'8210,"23"56"-7882,-8-43-32,7 2-248,1-2 0,-1 1-48,8-1-1456,-3-3-1745,-8-5-5057</inkml:trace>
  <inkml:trace contextRef="#ctx0" brushRef="#br0" timeOffset="429.07">438 79 6305,'0'0'8922,"-61"61"-8490,46-42-160,4 2-224,4-2-48,3 2-1152,4-4-2881,0-4-5697</inkml:trace>
  <inkml:trace contextRef="#ctx0" brushRef="#br0" timeOffset="690.84">498 92 7297,'0'0'9114,"4"57"-8986,3-44-120,1 3-16,-1-3-216,1-3-616,14-3-961,-7-1-991,0-4-417</inkml:trace>
  <inkml:trace contextRef="#ctx0" brushRef="#br0" timeOffset="1142.24">667 121 7905,'0'0'8703,"-10"-1"-7992,-58-2 265,68 3-971,0 0 0,0 0 0,0 0 0,0 0 0,0 0 0,1 0 1,-1 1-1,0-1 0,0 0 0,0 0 0,0 0 0,0 0 0,0 0 0,0 0 0,0 0 0,0 1 0,0-1 0,0 0 1,0 0-1,0 0 0,0 0 0,0 0 0,0 0 0,0 1 0,0-1 0,0 0 0,0 0 0,0 0 0,0 0 0,0 0 1,0 0-1,0 1 0,0-1 0,0 0 0,0 0 0,0 0 0,-1 0 0,1 0 0,0 0 0,0 0 0,0 0 0,0 1 1,0-1-1,0 0 0,0 0 0,0 0 0,-1 0 0,1 0 0,0 0 0,0 0 0,0 0 0,0 0 0,0 0 0,-1 0 0,14 6 100,-3-4-256,1 0 0,-1 1 0,0 0 0,0 1 0,13 6 0,-18-7 56,0-1 0,-1 1-1,1 0 1,0 1-1,-1-1 1,0 1 0,0 0-1,0 0 1,0 0 0,-1 0-1,0 1 1,4 4 0,-7-8 90,1 0 0,0 1 0,-1-1 0,1 0 0,-1 0 0,1 0 1,-1 0-1,0 0 0,0 1 0,1-1 0,-1 0 0,0 0 0,0 1 1,0-1-1,0 0 0,0 0 0,0 0 0,-1 1 0,1-1 0,0 0 0,-1 0 1,1 0-1,-1 2 0,0-2 24,0-1 1,1 1-1,-1 0 1,0-1-1,0 1 1,0-1-1,0 1 0,0-1 1,0 1-1,0-1 1,0 1-1,0-1 1,0 0-1,0 0 1,0 1-1,0-1 1,0 0-1,0 0 1,0 0-1,-2-1 0,1 1 43,1 0 0,-1 0-1,0 0 1,0 0 0,1-1-1,-1 1 1,0-1-1,1 1 1,-1-1 0,1 0-1,-1 0 1,1 1 0,-1-1-1,1 0 1,-1-1-1,1 1 1,0 0 0,-1 0-1,1 0 1,0-1 0,0 1-1,0-1 1,0 1-1,0-1 1,0 1 0,1-1-1,-1 1 1,1-1 0,-1 0-1,0-2 1,2 3-58,0 0 0,0 0 0,0 0 0,0 0 0,0 0 0,0 1 0,1-1 0,-1 0 1,0 1-1,0-1 0,1 1 0,-1-1 0,0 1 0,1-1 0,-1 1 0,0 0 0,1 0 0,-1 0 0,1-1 0,-1 2 0,3-1 0,1-1-15,177-8-3171,-95 6-3680,-45 2-1564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1:04.1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0 237 2760,'6'-1'10792,"19"0"-7866,-21 1-2937,0-1-1,0 1 1,-1-1 0,1 0 0,-1 0 0,1 0 0,-1 0 0,1-1-1,-1 1 1,1-1 0,-1 0 0,0 0 0,0 0 0,0 0-1,0-1 1,-1 1 0,1-1 0,0 1 0,-1-1 0,0 0 0,0 0-1,0 0 1,0-1 0,0 1 0,-1 0 0,1-1 0,-1 1 0,0-1-1,0 1 1,0-1 0,0 0 0,-1 1 0,0-1 0,1 0 0,-1 1-1,-1-1 1,1 0 0,-2-6 0,2 9 10,0 0-1,0 0 1,0 1-1,0-1 1,0 0-1,0 0 1,-1 0-1,1 0 1,0 0-1,-1 0 1,1 0-1,-1 1 1,1-1-1,-1 0 1,1 0-1,-1 1 1,1-1 0,-1 0-1,0 1 1,1-1-1,-1 0 1,0 1-1,0-1 1,0 1-1,1-1 1,-1 1-1,0 0 1,0-1-1,0 1 1,0 0-1,0-1 1,0 1-1,0 0 1,1 0-1,-1 0 1,0 0 0,0 0-1,0 0 1,0 0-1,0 0 1,-1 1-1,-1 0 0,1 0 0,-1 0 0,1 0 0,0 0-1,-1 0 1,1 1 0,0-1 0,0 1 0,0 0 0,0-1-1,0 1 1,1 0 0,-4 4 0,2-2 49,1 1-1,0-1 1,-1 1 0,1 0-1,1 0 1,-1-1 0,1 1-1,0 0 1,0 0 0,0 1 0,1-1-1,0 0 1,0 0 0,0 0-1,0 0 1,1 0 0,2 7-1,-2-8-74,0-1 0,0 0 0,1 1 0,-1-1 0,1 0 0,0 0 0,0 0-1,0-1 1,0 1 0,0 0 0,1-1 0,-1 1 0,1-1 0,-1 0 0,1 0 0,0 0-1,0 0 1,0 0 0,0-1 0,1 1 0,-1-1 0,0 0 0,1 0 0,-1 0 0,0-1-1,6 1 1,-4 0-378,1 0-1,-1-1 1,0 1 0,1-1-1,-1-1 1,0 1-1,0-1 1,0 0-1,1 0 1,-1 0 0,0-1-1,0 0 1,0 0-1,-1 0 1,1 0-1,7-6 1,0-1-4077</inkml:trace>
  <inkml:trace contextRef="#ctx0" brushRef="#br0" timeOffset="828.94">267 162 5825,'0'0'10763,"-5"-5"-10405,-16-18-233,21 23-123,-1 0 0,1 0 0,-1 0 0,1 0 0,-1-1 0,1 1 0,-1 0 0,1 0 0,-1 0 0,1 0 0,-1 0 0,1 0 0,-1 0 0,1 0 0,-1 0 0,1 0 1,0 1-1,-1-1 0,1 0 0,-1 0 0,1 0 0,-1 0 0,1 1 0,-1-1 0,1 0 0,0 1 0,-1-1 0,1 0 0,0 1 0,-1-1 0,1 0 0,0 1 0,-1-1 0,1 1 0,0-1 0,0 0 0,0 1 0,-1-1 0,1 1 0,0-1 0,0 1 0,0-1 0,0 1 0,-10 25 105,9-22-58,-1 3 30,0 0-1,0 0 0,1 1 1,0-1-1,0 15 0,1-20-81,0-1 0,0 1 0,0-1 0,0 0-1,0 1 1,0-1 0,1 1 0,-1-1 0,0 1 0,1-1 0,-1 0-1,1 1 1,0-1 0,-1 0 0,1 0 0,0 1 0,0-1-1,-1 0 1,1 0 0,0 0 0,0 0 0,1 0 0,-1 0 0,0 0-1,0 0 1,0-1 0,0 1 0,1 0 0,-1-1 0,0 1 0,1-1-1,-1 1 1,1-1 0,-1 0 0,0 1 0,3-1 0,-2-1-5,-1 1 1,1-1 0,-1 1 0,1-1 0,-1 0-1,1 0 1,-1 0 0,0 0 0,0 0-1,1 0 1,-1 0 0,0 0 0,0-1 0,0 1-1,0 0 1,0-1 0,0 1 0,0-3 0,19-35-349,-15 26 118,-5 13 236,0 1 0,0-1 0,0 0 0,0 0 0,0 0 0,0 0 0,0 0 0,0 0 0,0 0 0,0 0 0,0 0 0,0 0 0,0 0 0,0 0 0,0 1 0,0-1 0,0 0 0,0 0 0,0 0 0,0 0 0,0 0 0,1 0 0,-1 0 0,0 0 0,0 0 0,0 0-1,0 0 1,0 0 0,0 0 0,0 0 0,0 0 0,0 0 0,0 1 0,0-1 0,0 0 0,0 0 0,1 0 0,-1 0 0,0 0 0,0 0 0,0 0 0,0 0 0,0 0 0,0 0 0,0 0 0,0 0 0,0 0 0,0 0 0,0 0 0,1 0 0,-1-1 0,0 1 0,0 0 0,0 0 0,0 0 0,0 0 0,0 0 0,0 0 0,0 0 0,0 0 0,0 0 0,0 0 0,0 0 0,0 0 0,0 0 0,0 0 0,0 0 0,1-1 0,2 14-7,3 27 122,-4-24-134,-2-15 20,2 11-24,-1 0 0,2 0 0,-1 0 1,2 0-1,0 0 0,0-1 0,1 0 0,0 0 0,1 0 0,7 10 0,-13-20-23,1 0 0,-1-1 0,1 1 0,-1-1 0,0 1 0,1 0 0,-1-1 0,1 1 0,0-1 0,-1 1 0,1-1-1,-1 0 1,1 1 0,0-1 0,-1 0 0,1 1 0,0-1 0,-1 0 0,1 1 0,0-1 0,-1 0 0,1 0 0,0 0 0,0 0-1,-1 0 1,1 0 0,0 0 0,0 0 0,-1 0 0,1 0 0,0 0 0,0-1 0,-1 1 0,1 0 0,0 0 0,-1-1 0,1 1-1,0 0 1,-1-1 0,1 1 0,-1-1 0,1 1 0,-1-1 0,1 1 0,-1-1 0,1 1 0,-1-1 0,1 0 0,-1 1 0,1-1 0,-1 1-1,0-1 1,0 0 0,1 0 0,-1 1 0,0-1 0,0 0 0,1 0 0,1-5-351,-1 0 0,1 0 1,-1 1-1,0-1 0,1-11 0,-1-23-424,0 26 764,0-1 0,-1 0 0,-1 1 1,-7-34 4660,7 57-3369,4 16-991,0-18-205,-1 0 4,1-1 0,0 1 0,0 0 0,7 11 0,-9-17-30,0 0-1,1 1 0,-1-1 1,0 0-1,0 0 0,1 1 1,-1-1-1,0 0 0,1 0 0,-1-1 1,1 1-1,0 0 0,-1 0 1,1-1-1,0 1 0,-1-1 1,1 1-1,0-1 0,-1 0 1,1 0-1,0 0 0,0 0 0,0 0 1,-1 0-1,4-1 0,-4 1-9,1-1 0,-1 0 1,1 1-1,-1-1 0,0 0 0,1 0 0,-1 0 0,0 0 0,0 0 0,0 0 0,0 0 0,0 0 0,0-1 0,0 1 0,0 0 0,0-1 0,-1 1 0,1 0 0,0-1 1,-1 1-1,1-1 0,-1 1 0,0-1 0,0 1 0,1-2 0,2-42 332,-3 40-211,0-61 699</inkml:trace>
  <inkml:trace contextRef="#ctx0" brushRef="#br0" timeOffset="1115.38">587 153 8025,'0'0'8290,"12"53"-8018,-5-36-272,-3-1 56,3-1-56,-3-4-328,4 1-680,-1-9-1001,-3 1 25</inkml:trace>
  <inkml:trace contextRef="#ctx0" brushRef="#br0" timeOffset="1434.38">651 179 6121,'0'0'9031,"6"10"-8889,-2-2-118,1 2-24,0 0 1,0-1-1,1 0 0,0 0 0,1-1 1,0 0-1,0 0 0,11 9 0,-18-17 5,0 1-1,0-1 1,1 0 0,-1 0-1,0 0 1,0 0-1,1 1 1,-1-1-1,0 0 1,1 0 0,-1 0-1,0 0 1,1 0-1,-1 0 1,0 0-1,1 0 1,-1 0-1,0 0 1,0 0 0,1 0-1,-1 0 1,0 0-1,1 0 1,-1 0-1,0 0 1,1-1-1,-1 1 1,0 0 0,0 0-1,1 0 1,-1 0-1,0-1 1,1 1-1,-1 0 1,0 0 0,0-1-1,0 1 1,1 0-1,-1 0 1,0-1-1,0 1 1,0 0-1,1-1 1,3-20 215,-6-26-5,2 40-373,-1 1 0,0-1 0,-1 0 0,1 1 0,-4-9 0</inkml:trace>
  <inkml:trace contextRef="#ctx0" brushRef="#br0" timeOffset="1641.91">855 168 7561,'0'0'6794,"7"63"-6722,-3-48-72,3 2 80,1-3-160,3-1-1185,-3-4-887,-1-3-393</inkml:trace>
  <inkml:trace contextRef="#ctx0" brushRef="#br0" timeOffset="2008.77">922 48 7961,'0'0'7690,"19"69"-7402,-11-45-184,3 3 96,0-4-200,1 2-264,-5-4-768,4-2-537,-3-6-2696,-1-4-3904</inkml:trace>
  <inkml:trace contextRef="#ctx0" brushRef="#br0" timeOffset="3364.98">1126 229 224,'0'0'15967,"8"-3"-15844,25-8-74,-31 10-47,-1 0 0,1 0-1,-1 0 1,1 0 0,-1 0 0,1 0 0,-1-1-1,1 1 1,-1 0 0,0-1 0,0 1 0,0-1-1,0 1 1,0-1 0,0 0 0,0 0 0,-1 1-1,1-1 1,-1 0 0,1 0 0,-1 0-1,0 1 1,1-1 0,-1 0 0,0-2 0,0 2 9,0 1 1,0 0 0,0-1 0,0 1 0,0 0 0,0 0-1,-1-1 1,1 1 0,0 0 0,-1 0 0,1 0 0,-1-1-1,1 1 1,-1 0 0,0 0 0,1 0 0,-1 0 0,0 0-1,0 0 1,0 0 0,1 0 0,-1 0 0,0 0 0,0 1-1,0-1 1,-1 0 0,1 1 0,0-1 0,0 1-1,-2-1 1,1 1 24,0-1-1,0 1 1,-1 1-1,1-1 0,0 0 1,-1 0-1,1 1 0,0-1 1,0 1-1,0 0 1,0 0-1,0 0 0,0 0 1,0 0-1,0 0 1,0 0-1,0 1 0,0-1 1,0 1-1,1-1 1,-1 1-1,1 0 0,-1 0 1,1 0-1,0-1 1,0 1-1,0 0 0,0 1 1,0-1-1,0 0 1,0 0-1,1 0 0,-1 4 1,0-4-13,1 1 0,-1 0 0,1 0 0,0 0 1,0 0-1,0 0 0,0 0 0,1 0 0,-1 0 0,1 0 0,-1 0 1,1 0-1,0-1 0,0 1 0,1 0 0,-1 0 0,1-1 0,-1 1 1,1-1-1,0 0 0,0 1 0,0-1 0,0 0 0,0 0 0,4 3 1,0-2-151,0 0 0,0 0 1,0 0-1,0-1 0,0 0 0,1 0 1,-1-1-1,11 2 0,-11-3-937,1 0-1,-1 0 0,1 0 0,-1-1 0,8-1 0,5-5-7923</inkml:trace>
  <inkml:trace contextRef="#ctx0" brushRef="#br0" timeOffset="3743.05">1280 174 6313,'0'0'7310,"2"9"-6821,-1-7-446,11 40 216,-12-40-241,1-1 0,-1 1 1,1 0-1,0 0 1,0-1-1,0 1 1,0 0-1,0-1 1,0 1-1,0-1 0,0 1 1,1-1-1,-1 0 1,1 1-1,-1-1 1,1 0-1,-1 0 1,1 0-1,0 0 1,-1 0-1,1-1 0,0 1 1,3 0-1,-4-4 26,0 0 1,0 0-1,0 0 0,0 0 0,-1 0 0,1-1 0,-1 1 0,0 0 0,0 0 1,0-1-1,-1-3 0,1 2-11,0-63 143,0 67-113,22 29 291,-15-17-316,0-1-85,0 0 0,1 0 1,16 16-1,-23-25-201,1 1 1,-1-1 0,1 0-1,-1 1 1,1-1 0,-1 0-1,1 0 1,0 0 0,0 0-1,-1-1 1,1 1 0,0 0-1,0-1 1,0 1 0,0-1-1,0 0 1,0 0 0,0 0-1,0 0 1,0 0 0,0 0-1,0 0 1,0 0 0,-1-1-1,1 1 1,0-1 0,0 0-1,0 1 1,0-1 0,-1 0-1,4-2 1,6-7-2660</inkml:trace>
  <inkml:trace contextRef="#ctx0" brushRef="#br0" timeOffset="3965.11">1491 1 8009,'0'0'8266,"15"76"-7818,-4-44-224,4 2 8,4 2-232,0 3 0,0-5-472,3-2-1328,-3-9-2025,-8-8-2008</inkml:trace>
  <inkml:trace contextRef="#ctx0" brushRef="#br0" timeOffset="4109.17">1532 204 6161,'0'0'6089,"79"-4"-6089,-49 4-392,-3 0-3865</inkml:trace>
  <inkml:trace contextRef="#ctx0" brushRef="#br0" timeOffset="4415.93">1984 54 3776,'0'0'11395,"11"59"-10331,0-29-480,4 1-288,-3 1-288,3-1-8,0-3-640,0 1-1184,-8-10-2673,1-6-3409</inkml:trace>
  <inkml:trace contextRef="#ctx0" brushRef="#br0" timeOffset="4835.64">1991 206 7241,'0'0'5773,"11"1"-5438,8 2-275,-4 1-575,0-2 0,0 0-1,0-1 1,0-1 0,27-2 0,-42 2 570,1 0 0,-1 0-1,0 0 1,0 0 0,0 0 0,0 0 0,1-1 0,-1 1-1,0 0 1,0 0 0,0 0 0,0 0 0,0 0-1,0-1 1,1 1 0,-1 0 0,0 0 0,0 0-1,0 0 1,0-1 0,0 1 0,0 0 0,0 0 0,0 0-1,0-1 1,0 1 0,0 0 0,0 0 0,0 0-1,0-1 1,0 1 0,0 0 0,0 0 0,0 0-1,0-1 1,0 1 0,0 0 0,0 0 0,0 0 0,-1 0-1,1-1 1,0 1 0,0 0 0,0 0 0,0 0-1,0 0 1,0 0 0,-1-1 0,1 1 0,0 0-1,0 0 1,0 0 0,0 0 0,-1 0 0,1 0 0,0 0-1,0 0 1,0 0 0,-1 0 0,1 0 0,-1-1-9,1 1 0,0 0 0,-1 0 0,1 0 1,-1 0-1,1 0 0,-1 0 0,1 0 1,0 0-1,-1 0 0,1 0 0,-1 0 1,1 0-1,0 0 0,-1 1 0,1-1 1,-1 0-1,1 0 0,0 0 0,-1 0 0,1 1 1,-1-1-1,1 0 0,0 1 0,0-1 1,-1 0-1,1 0 0,0 1 0,-1-1 1,1 1-1,0-1 0,0 0 0,0 1 1,-1-1-1,1 0 0,0 1 0,0-1 0,0 1 1,0-1-1,0 1 0,0-1 0,0 0 1,0 1-1,0-1 0,0 1 0,-1 1-11,1 0 0,0 0 0,0 0 0,0 0 0,0 0 0,1 0 0,-1 0 0,0 0 0,1 0 0,-1 0 0,1 0 0,0 0 0,0 0 0,-1 0 0,1 0 0,1-1 0,-1 1 0,0 0 0,0-1 0,1 1 0,-1-1 0,0 1 0,1-1 0,0 0 0,-1 1 0,1-1 0,0 0 0,0 0 0,-1 0 0,1 0 0,0-1-1,0 1 1,0-1 0,0 1 0,0-1 0,0 1 0,3-1 0,-3 1-9,0-1 0,-1 0-1,1 1 1,0-1 0,0 0-1,0 0 1,0 0 0,-1 0-1,1 0 1,0 0 0,0-1-1,0 1 1,-1 0 0,1-1-1,0 0 1,0 1 0,-1-1-1,1 0 1,0 0 0,-1 0 0,1 0-1,-1 0 1,1 0 0,-1 0-1,0-1 1,0 1 0,1 0-1,-1-1 1,0 1 0,0-1-1,0 0 1,0 1 0,-1-1-1,1 0 1,0 1 0,-1-1-1,1 0 1,-1 0 0,1-1-1,-1-1-139,0 1-1,0-1 0,0 1 1,0 0-1,-1-1 0,1 1 0,-1 0 1,0 0-1,-2-4 0,3 6-15,-1 0 0,0-1 0,0 1 0,-1 0 0,1 1 0,0-1 0,0 0 0,0 0 0,-1 0 0,1 1 0,0-1 0,-1 1 0,1-1 0,0 1 0,-1-1-1,1 1 1,-1 0 0,1 0 0,0 0 0,-1 0 0,1 0 0,-1 0 0,-1 0 0,-8 0-4889</inkml:trace>
  <inkml:trace contextRef="#ctx0" brushRef="#br0" timeOffset="5181.51">2270 225 6993,'0'0'5092,"4"9"-4750,0 1-285,-1-3-33,-1-1 0,1 0 1,0 0-1,1 0 0,0 0 0,-1 0 1,8 6-1,-11-63 3453,-7-8-2838,7 59-694,3 1-401,0-1 0,0 1 1,0 0-1,-1 0 0,1 0 0,0 0 0,0 1 1,-1-1-1,4 3 0,8 4-2255,5 1 818</inkml:trace>
  <inkml:trace contextRef="#ctx0" brushRef="#br0" timeOffset="5696.27">2492 218 5265,'0'0'10969,"-11"0"-10439,-33 1-151,42-1-349,0 1 0,0-1 0,0 1 0,0-1 0,0 1 0,0 0 0,1 0 0,-1 0-1,0 0 1,0 0 0,1 0 0,-1 0 0,1 1 0,-1-1 0,1 1 0,0-1 0,-1 1 0,1-1 0,0 1 0,0 0 0,0 0 0,0-1 0,1 1 0,-1 0 0,0 0 0,1 0-1,-1 0 1,1 0 0,0 0 0,-1 0 0,1 0 0,0 0 0,0 0 0,1 3 0,-1-4-33,1 0 0,-1 0 0,1 0 1,-1 0-1,1 0 0,0 0 0,-1 0 0,1-1 0,0 1 1,0 0-1,-1 0 0,1-1 0,0 1 0,0-1 0,0 1 0,0-1 1,0 1-1,0-1 0,0 1 0,0-1 0,0 0 0,0 0 1,0 1-1,0-1 0,0 0 0,0 0 0,0 0 0,0 0 0,0 0 1,0 0-1,3-1 0,-1 1-120,0 0 1,0 0-1,0-1 1,0 1-1,0-1 1,0 1-1,0-1 1,0 0-1,0 0 1,4-3-1,-5 2 75,0 0 0,0 0-1,0 0 1,0 0 0,0 0-1,-1 0 1,1-1 0,-1 1-1,0-1 1,1 1 0,-1-1-1,0 0 1,-1 1 0,1-1-1,0-3 1,-1 6 245,0 38 337,0-25-564,1 0 0,0 0 0,1 0 0,1 0 1,0 0-1,0-1 0,1 1 0,1-1 0,0 0 1,1 0-1,0-1 0,0 0 0,17 21 0,-23-32-29,1 1-1,-1-1 0,0 0 0,0 1 1,1-1-1,-1 0 0,0 1 0,1-1 0,-1 0 1,0 0-1,1 1 0,-1-1 0,1 0 1,-1 0-1,1 0 0,-1 0 0,0 0 1,1 1-1,-1-1 0,1 0 0,-1 0 1,1 0-1,-1 0 0,1 0 0,-1 0 1,0 0-1,1 0 0,-1-1 0,1 1 0,-1 0 1,1 0-1,0 0 0,11-15-1575,5-28-897,-15 36 1889,9-21-1943,1 2 238</inkml:trace>
  <inkml:trace contextRef="#ctx0" brushRef="#br0" timeOffset="6275.1">2612 246 5673,'0'0'12223,"0"10"-11861,-1 30-92,1-38-262,0-1 0,0 1-1,0 0 1,1 0 0,-1 0-1,1 0 1,-1 0 0,1 0-1,0-1 1,0 1 0,-1 0-1,1-1 1,1 1 0,-1 0-1,0-1 1,0 1 0,1-1-1,-1 0 1,0 1 0,1-1-1,-1 0 1,1 0 0,3 2-1,-4-3-8,0 1-1,0-1 0,0 0 0,0 0 0,0 1 0,0-1 1,0 0-1,0 0 0,0 0 0,1 0 0,-1 0 0,0 0 0,0 0 1,0-1-1,0 1 0,0 0 0,0 0 0,0-1 0,0 1 1,0-1-1,0 1 0,0-1 0,0 1 0,-1-1 0,1 0 1,0 0-1,0 1 0,0-1 0,-1 0 0,1 0 0,0 0 1,-1 1-1,1-1 0,-1 0 0,1 0 0,0-1 0,2-8-135,1 1 0,-1-1 0,-1 0 1,0 0-1,0 0 0,0-18 0,-2 28-70,0 24 22,1-22 154,-1 0 1,1 0-1,-1 0 1,1 0-1,0 0 1,0-1-1,0 1 1,0 0 0,0-1-1,0 1 1,0-1-1,1 1 1,-1-1-1,0 1 1,1-1-1,0 0 1,-1 0-1,1 0 1,-1 0 0,1 0-1,2 1 1,-1-1-37,0 0 0,1-1 0,-1 1 0,0-1 0,1 1 0,-1-1 0,0 0 1,0-1-1,1 1 0,-1 0 0,6-3 0,-3 2-41,-1-1 1,0 1-1,0-2 1,0 1-1,0 0 0,0-1 1,-1 0-1,1 0 0,-1 0 1,0-1-1,0 1 1,0-1-1,0 0 0,0 0 1,3-7-1,-7 12 144,0-1 1,-1 0-1,1 0 0,0 0 1,0 0-1,-1 0 0,1 1 1,0-1-1,-1 0 0,1 0 1,0 0-1,0 0 0,-1 0 1,1 0-1,0 0 0,-1 0 1,1 0-1,0 0 0,-1 0 0,1 0 1,0 0-1,0 0 0,-1-1 1,1 1-1,0 0 0,-1 0 1,1 0-1,0 0 0,0 0 1,-1-1-1,1 1 0,0 0 1,0 0-1,0 0 0,-1-1 1,1 1-1,0 0 0,0 0 1,0-1-1,0 1 0,-1 0 1,1 0-1,0-1 0,0 1 1,0 0-1,0-1 0,0 1 1,0 0-1,0 0 0,0-1 1,0 1-1,0 0 0,0-1 1,0 1-1,0 0 0,0-1 0,0 1 1,0 0-1,0 0 0,0-1 1,1 1-1,-1 0 0,0-1 1,0 1-1,-2 1 95,0-1 1,0 1-1,0 0 1,0 0-1,1 0 1,-1 1-1,0-1 0,0 0 1,1 1-1,-4 2 1,4-2-40,0 0 0,0-1 1,0 1-1,1 0 0,-1 0 0,0-1 1,1 1-1,-1 0 0,1 0 0,-1 0 1,1 0-1,0 0 0,0 0 1,0 0-1,0-1 0,0 1 0,0 0 1,0 0-1,2 3 0,-1-3-76,-1-1-1,1 0 1,0 1-1,0-1 0,1 0 1,-1 0-1,0 0 1,0 1-1,1-1 1,-1 0-1,0-1 1,1 1-1,-1 0 0,1 0 1,-1-1-1,1 1 1,3 0-1,1 1-340,1-1-1,-1-1 1,1 1-1,-1-1 0,1 0 1,-1 0-1,1-1 1,-1 0-1,13-3 1,6-5-2157,0-1-2961</inkml:trace>
  <inkml:trace contextRef="#ctx0" brushRef="#br0" timeOffset="6589.54">3290 174 12602,'0'0'7306,"26"0"-7234,-18 0-144,-1 4-184,5-3-536,-1 3-625,-3 0-1215,-1-2-3258</inkml:trace>
  <inkml:trace contextRef="#ctx0" brushRef="#br0" timeOffset="6842.46">3313 265 9842,'0'0'10002,"56"0"-9826,-37-2 48,0 2-224,0 0-1040,-1-2-1681,-6 2-5673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1:14.6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80 31 7393,'0'0'13930,"-7"-2"-13612,-22-7-154,28 9-127,-1 0 0,1-1 0,-1 1 0,1 1 0,-1-1 0,1 0 0,-1 0 0,1 1-1,-1-1 1,1 0 0,-1 1 0,1 0 0,-1-1 0,1 1 0,0 0 0,-1 0 0,1-1 0,0 1 0,0 0-1,-1 0 1,1 1 0,0-1 0,0 0 0,0 0 0,0 0 0,1 1 0,-1-1 0,0 0 0,0 1 0,1-1-1,-1 3 1,0-3-26,0 1 0,1-1 1,-1 0-1,1 0 0,-1 0 0,1 0 0,0 1 0,0-1 0,-1 0 0,1 0 0,0 0 0,0 1 0,0-1 0,0 0 0,0 0 0,1 1 0,-1-1 0,0 0 0,1 0 0,-1 0 0,0 1 1,1-1-1,0 0 0,-1 0 0,1 0 0,0 0 0,-1 0 0,1 0 0,0 0 0,0 0 0,0 0 0,0 0 0,0-1 0,0 1 0,0 0 0,2 0 0,3 1-73,0-1-1,0 0 0,0 0 1,0-1-1,0 1 0,0-1 1,0-1-1,10-1 0,-14 2 7,0-1 1,0 1-1,1-1 0,-1 1 0,0-1 0,0 0 0,0 0 0,0 0 1,0 0-1,0-1 0,0 1 0,-1 0 0,1-1 0,0 1 0,-1-1 0,1 1 1,-1-1-1,1 0 0,-1 0 0,0 0 0,0 0 0,0 0 0,0 0 0,0 0 1,1-3-1,-2 5 52,0-1 0,0 1 1,0-1-1,0 1 0,1-1 1,-1 0-1,0 1 0,0-1 1,0 1-1,-1-1 0,1 1 1,0-1-1,0 1 0,0-1 1,0 1-1,0-1 1,-1 1-1,1-1 0,0 1 1,0-1-1,-1 1 0,1-1 1,0 1-1,-1-1 0,1 1 1,0 0-1,-1-1 0,1 1 1,-1 0-1,0-1 0,-18-2-19,14 4-205,0-1 0,1 1 0,-1 1 0,1-1 0,-1 0 0,-5 4 1,-5 6-2273,3 0-1725</inkml:trace>
  <inkml:trace contextRef="#ctx0" brushRef="#br0" timeOffset="394.92">95 115 7537,'0'0'8938,"-7"9"-8693,-20 28 35,26-35-257,-1 0 0,1-1 0,0 1 0,0 0 0,1-1 0,-1 1 0,0 0 1,1 0-1,-1 0 0,1 0 0,-1 0 0,1 0 0,0-1 0,0 1 0,0 0 0,0 0 0,0 0 0,0 0 0,0 0 0,1 0 0,-1 0 0,1 0 0,-1 0 0,1 0 0,0-1 0,0 1 0,0 0 0,0 0 0,0-1 0,0 1 0,0-1 0,1 1 0,-1-1 0,1 0 0,-1 1 0,1-1 0,-1 0 0,3 1 0,1 1-106,0 0-1,0 0 0,0-1 0,1 0 1,-1 0-1,1-1 0,-1 1 1,1-1-1,0 0 0,6 0 1,-10-1 7,1 0 1,0 0 0,-1 0 0,1 0 0,-1 0-1,1 0 1,0-1 0,-1 0 0,1 1-1,-1-1 1,1 0 0,-1 0 0,0 0 0,1-1-1,-1 1 1,0 0 0,0-1 0,2-2-1,-2 2 96,0-1 1,-1-1-1,1 1 0,-1 0 0,0 0 0,0 0 0,0-1 0,0 1 0,-1-1 0,1 1 0,-1 0 0,0-1 1,0-5-1,0 3 123,-1 1 0,1-1 0,-1 1 1,0-1-1,0 1 0,-1 0 0,1-1 1,-1 1-1,-1 0 0,-3-7 0,5 9-188,-1 1-1,0 0 1,1 0 0,-1-1-1,0 1 1,0 0-1,0 1 1,-1-1-1,1 0 1,0 0-1,-1 1 1,1 0 0,-1-1-1,1 1 1,-1 0-1,0 0 1,1 1-1,-1-1 1,0 0-1,0 1 1,1 0 0,-4-1-1,-3 1-2640</inkml:trace>
  <inkml:trace contextRef="#ctx0" brushRef="#br0" timeOffset="970.88">374 23 6969,'0'0'9991,"-10"-3"-9189,-1-2-570,8 3-143,-1 0 0,1 1 1,-1-1-1,0 1 0,1 0 0,-1 0 0,0 0 0,0 0 0,0 1 0,-7-1 1,10 2-46,-1-1 0,0 1 0,0 0 1,0 0-1,0-1 0,1 1 1,-1 0-1,0 0 0,1 1 0,-1-1 1,1 0-1,-1 0 0,1 1 1,0-1-1,0 1 0,-1-1 1,1 1-1,0 0 0,0-1 0,1 1 1,-1 0-1,0 0 0,0 0 1,1 0-1,-1-1 0,1 1 1,0 0-1,-1 2 0,1-2-37,-1 0 1,1 0-1,-1 1 0,1-1 1,0 0-1,0 0 0,0 0 0,0 0 1,0 1-1,1-1 0,-1 0 1,1 0-1,-1 0 0,1 0 1,0 0-1,-1 0 0,1 0 0,0 0 1,0 0-1,1-1 0,-1 1 1,0 0-1,1 0 0,-1-1 0,1 1 1,2 1-1,-1-1-112,0-1 0,0 1 0,0-1 1,1 0-1,-1 0 0,0-1 0,1 1 0,-1-1 0,0 1 0,1-1 0,-1 0 1,1 0-1,-1-1 0,0 1 0,1-1 0,-1 1 0,0-1 0,1 0 1,-1 0-1,0-1 0,0 1 0,0-1 0,0 1 0,0-1 0,0 0 0,-1 0 1,1 0-1,0-1 0,-1 1 0,0-1 0,1 1 0,-1-1 0,0 0 0,-1 0 1,1 0-1,0 0 0,2-6 0,4-4 637,-2 13-244,0 25-90,-3-8-97,-1-6-251,19 74 215,-3-30-5013,-10-37-2208</inkml:trace>
  <inkml:trace contextRef="#ctx0" brushRef="#br0" timeOffset="1170.54">660 208 10562,'0'0'5977</inkml:trace>
  <inkml:trace contextRef="#ctx0" brushRef="#br0" timeOffset="1629.71">905 48 2896,'0'0'9894,"-9"8"-8352,2-1-1295,-12 12 837,-1-2 0,-27 19 0,104-45 617,-1 2-7036,-37 5-397</inkml:trace>
  <inkml:trace contextRef="#ctx0" brushRef="#br0" timeOffset="1898.66">957 1 8409,'0'0'7930,"23"70"-7498,-19-45-328,3-1 64,-3 3-168,11 2-976,-7-6-3425,-1-6-5385</inkml:trace>
  <inkml:trace contextRef="#ctx0" brushRef="#br0" timeOffset="2531.83">1183 58 9578,'0'0'8707,"-10"-8"-7915,-33-21-356,42 28-416,0 0 0,-1 0 0,1 0 0,-1 1 0,1-1 0,-1 0 0,0 1 0,1-1 0,-1 1 0,0-1 0,1 1 0,-1 0 0,0 0 0,1-1 0,-1 1 0,0 1 0,0-1 0,1 0 0,-1 0-1,0 1 1,1-1 0,-1 1 0,0-1 0,1 1 0,-1 0 0,1-1 0,-1 1 0,1 0 0,-1 0 0,1 0 0,0 0 0,-1 0 0,1 1 0,0-1 0,0 0 0,0 1 0,0-1 0,0 1 0,0-1 0,0 1 0,0-1 0,1 1-1,-1-1 1,1 1 0,-1 2 0,0-2-19,0 1 0,0 0 0,0-1 0,1 1 0,-1 0 0,1 0-1,0 0 1,-1-1 0,2 1 0,-1 0 0,0 0 0,0 0 0,1-1 0,-1 1 0,1 0-1,0-1 1,0 1 0,0 0 0,0-1 0,1 1 0,-1-1 0,1 0 0,-1 1-1,3 2 1,-2-4-92,0 1 0,0-1-1,1 0 1,-1 1 0,0-1-1,0 0 1,1 0-1,-1-1 1,0 1 0,1 0-1,-1-1 1,1 0 0,-1 1-1,1-1 1,-1 0 0,1 0-1,-1 0 1,1-1-1,-1 1 1,1-1 0,-1 1-1,0-1 1,1 0 0,-1 0-1,0 0 1,1 0 0,-1 0-1,0 0 1,2-2 0,-1 0 107,0-1 0,0 1 0,-1 0 0,1-1 0,-1 1 0,0-1 0,0 0 1,0 0-1,-1 0 0,1 0 0,-1 0 0,0 0 0,0 0 0,0-1 1,-1 1-1,0 0 0,0-7 0,15 47 435,-15-35-466,3 21 263,1 0 1,8 23-1,9-3-1022,-19-39 317,0 0 1,1 0 0,-1 0-1,1-1 1,-1 1 0,1-1 0,0 1-1,0-1 1,5 3 0,1-3-4846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0:51:19.2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 8305,'0'0'4897,"3"53"-4665,1-30-232,0 4-32,3-3-672,1 1-152,-1 2-576,1-6-625,-4-6-1944</inkml:trace>
  <inkml:trace contextRef="#ctx0" brushRef="#br0" timeOffset="652.6">110 0 5617,'0'0'8296,"1"11"-7958,35 164 159,-23-139-903,-12-35 350,-1 1 1,1-1-1,-1 0 1,1 0-1,0 1 0,0-1 1,0 0-1,-1 0 1,1 0-1,0 0 1,0 0-1,1 0 0,-1 0 1,0 0-1,0 0 1,0-1-1,1 1 1,-1 0-1,0-1 0,1 1 1,1 0-1,-2-3 78,0 0 0,0 0-1,0 0 1,-1 0-1,1 0 1,-1 0 0,1 0-1,-1 0 1,0-1 0,0 1-1,0 0 1,0 0-1,-1-4 1,1-3 261,1 6-229,0 0 0,-1 0 1,1 0-1,1-1 0,-1 1 1,0 0-1,1 1 0,-1-1 1,1 0-1,2-2 0,-3 4-53,-1 0 0,1 1 0,0-1 0,-1 1 0,1-1 0,0 1 0,0-1 0,-1 1 1,1 0-1,0-1 0,0 1 0,0 0 0,-1 0 0,1-1 0,0 1 0,0 0 0,0 0 0,0 0 0,0 0 0,-1 0 0,1 0 0,0 1 0,0-1 0,0 0 0,0 0 0,0 0 0,-1 1 0,1-1 0,0 1 0,0-1 0,-1 0 1,1 1-1,0-1 0,0 1 0,-1 0 0,1-1 0,-1 1 0,1-1 0,0 1 0,-1 0 0,1 0 0,0 1 0,3 3-155,0 1-1,0 0 1,0 0-1,-1 0 1,5 12-1,-7-16 132,0 0-1,0 0 1,0 0 0,-1 0-1,1 1 1,-1-1 0,1 0 0,-1 0-1,0 1 1,0-1 0,0 0-1,0 0 1,0 1 0,-1-1-1,1 0 1,-1 0 0,1 1 0,-1-1-1,0 0 1,0 0 0,-2 3-1,2-4 131,-1 0-1,1 0 0,-1 0 0,0 0 0,1 0 0,-1 0 1,0-1-1,0 1 0,0-1 0,0 1 0,0-1 0,1 0 1,-1 0-1,0 0 0,0 0 0,0 0 0,0 0 1,0 0-1,0-1 0,0 1 0,1-1 0,-3 0 0,0 0-196,-1 0-1,1-1 0,0 0 1,0 1-1,0-1 0,0 0 1,1-1-1,-7-4 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2:24:53.199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5072 49828,'0'0,"22"11,-8-3,-1 8,-1 1,0 6,-1 0,1-1,-6-3,2-1,-4-8,2 0,0-6,-4 3,0-7,0-9,-2-5,0-5,0 1,0-10,0 6,0 2,4-1,4 3,-2 10,4-7,0 5,0 8</inkml:trace>
  <inkml:trace contextRef="#ctx0" brushRef="#br0">5888 50002,'0'2541,"6039"-2541</inkml:trace>
  <inkml:trace contextRef="#ctx0" brushRef="#br1">5011 50950,'0'0,"0"5,0 5,2 2,0-1,0 4,2 2,2 6,-4-5,0-3</inkml:trace>
  <inkml:trace contextRef="#ctx0" brushRef="#br1">5298 51103,'0'0,"67"-18,-47 18,-2 0,-5 4,0 8,-11-1,-2-2,0 5,-4 1,-9-6,-1-3,1 2,-3-2,8-4,-7-2,7 0,6 0</inkml:trace>
  <inkml:trace contextRef="#ctx0" brushRef="#br1">5328 51103,'0'0,"-4"56,10-38,0 4,-4 1,8 3,-1-5,-3-5</inkml:trace>
  <inkml:trace contextRef="#ctx0" brushRef="#br1">4989 51164,'0'0,"65"-12,-45 12,-4-4,7 1,-7 1,6 0,-9 2,1-4</inkml:trace>
  <inkml:trace contextRef="#ctx0" brushRef="#br1">5072 51273,'0'0,"16"-17,-6 17,-8 0,6 0,-1 0,-5 6,-2 3,0-3,0 0,0 5,0 2,-6 1,-5-2,5 0,-2-4,4 5,-2-7,2-1,2-3,0 2,2-2,6-2,2 0,2 0,0 0,5-6,-3 4,0 2,5-5,-1 3,-6 0</inkml:trace>
  <inkml:trace contextRef="#ctx0" brushRef="#br1">5948 51273,'3254'0</inkml:trace>
  <inkml:trace contextRef="#ctx0" brushRef="#br1">9204 51309,'0'2447</inkml:trace>
  <inkml:trace contextRef="#ctx0" brushRef="#br1">8699 52138,'0'0,"8"50,-6-36,-2-5,8 8,-6-7,3 1</inkml:trace>
  <inkml:trace contextRef="#ctx0" brushRef="#br1">8833 52163,'0'0,"-45"57,27-34,2 2,-4 13,10-6,-3-7</inkml:trace>
  <inkml:trace contextRef="#ctx0" brushRef="#br1">9002 52165,'0'0,"12"51,-12-35,0-1,0 2,0-1,0 2,0-3,-2-3,2 1,0-8,0 3,0-6,6-2,-2 0,2 0,1 0,-1 0,2 0,2 0,-1 0,-3 0</inkml:trace>
  <inkml:trace contextRef="#ctx0" brushRef="#br1">11887 52188,'0'0,"0"16,0-4,4 0,-4 3,0 1,0 1,0 3,0-1,0-3,0 1,-4-1,4-5,0-3,0-1,0-3,8-2,0-2,-2 0,4 0,-2 0,1 0,-1 0,3 0,-1 0,-4 0,-2 0,1 0</inkml:trace>
  <inkml:trace contextRef="#ctx0" brushRef="#br1">8844 52298,'0'0,"29"-13,-19 13,-4 0,-2 0,-4 11,0-3,0 5,-10 1,-2 1,0 2,-2-7,8 6,-4-9,3 4,3-4,4-5,9-2,3 0,2 0,2-4,0-1,4 2,-8 3,2 0</inkml:trace>
  <inkml:trace contextRef="#ctx0" brushRef="#br0">12506 52511,'0'0,"-53"52,41-34,-2 7,2-1,7-6</inkml:trace>
  <inkml:trace contextRef="#ctx0" brushRef="#br0">12369 52527,'0'0,"12"-1,-8 1,2 0,-1 1,-1 3,2 4,-1-3,1 8,2-3,-2-3,-2 0,2 1,2 1,-4-7,0 4,4-4,3-2,-7 2</inkml:trace>
  <inkml:trace contextRef="#ctx0" brushRef="#br1">12629 53564,'0'0,"0"7,0 1,0 3,0-2,0 8,0-3,0 5,0 9,0-13,0 7</inkml:trace>
  <inkml:trace contextRef="#ctx0" brushRef="#br1">13018 53616,'0'0,"61"-10,-43 18,0 0,-1 2,-6 3,-2 4,-7-2,-2 0,-2-2,-14-4,1 0,-3-7,-2 2,2-4,1 0,7-4,2-3</inkml:trace>
  <inkml:trace contextRef="#ctx0" brushRef="#br1">13022 53621,'0'0,"2"11,0-8,-2-1,0 4,0 2,0 1,0 8,0-2,-4-4</inkml:trace>
  <inkml:trace contextRef="#ctx0" brushRef="#br1">13032 53699,'0'0,"-2"62,2-32,6-3,-2-7</inkml:trace>
  <inkml:trace contextRef="#ctx0" brushRef="#br1">12353 53709,'0'0,"8"0,0 0,4 0,0 0,1 4,-4-3,1-1,2 2,-4 3,4-5</inkml:trace>
  <inkml:trace contextRef="#ctx0" brushRef="#br1">12748 53709,'0'0,"-46"50,37-32,-2 2,-11 7,10-2,3-8</inkml:trace>
  <inkml:trace contextRef="#ctx0" brushRef="#br1">9253 53779,'2683'0</inkml:trace>
  <inkml:trace contextRef="#ctx0" brushRef="#br1">12738 53849,'0'0,"56"-11,-50 20,-2-7,-4 7,0 1,-2 2,-10 0,2 1,2 2,1-6,-4 3,5-4,-2 6,6-8,-2 0,4-4,0 4,4-6,6 1,0-1,4 0,0 0,0 0,2 0,-2 0,-3 0</inkml:trace>
  <inkml:trace contextRef="#ctx0" brushRef="#br0">5202 54628,'0'0,"0"16,0-7,0 4,0-2,0 5,0-1,0-1,0 4,0-8,6 4,-6-9,6-3,-4 0,4-2,-6 0,4-8,0-1,-4-3,0 1,0-7,0 4,0-2,0-3,0 1,0 2,0 4,0 1,0 5,2 0,0 2,2 4,-2-6,0 6,0 0,4 10,5 0,-5 6,0 1,-1 5,3-1,2-3,-4-4,4 4,-6-11,2-3,2-4,-4 0,0-2,0-11,0-4,-2-2,0-4,3-3,-5 7,4 1,-2 8,0 0,0 5,0 5,2 0,2 5,0 3,0 0,1 5,-3-1,1 4,0 8,-3-4,6 0,-5 1,9 0,-4-7,2-5</inkml:trace>
  <inkml:trace contextRef="#ctx0" brushRef="#br0">5886 54655,'0'2542,"6039"-2542</inkml:trace>
  <inkml:trace contextRef="#ctx0" brushRef="#br1">10278 55534,'0'0,"8"71,-8-47,4-4,-4 1,0-7,0 3,5-8,-5 2,2-9,0-2,0-2,-2-16,0 8,0-10,0-1,0-4,-2-2,0 1,2-2,0 11,0-1,0 6,0 4,0 4,2-3,4 7,-2 0,1 0,-1 7,4 5,-2 8,2 0,0 6,4-3,0-3,-2 1,-3-1,1-6,-2-5,0-2,-2-4,-2-3,-2 0,0-9,0-3,0-12,0 2,0-9,0 1,0 5,0 1,0 11,0 5,0 0,8 6,-5 0,5 2,2 0,-4 0,4 4,-1 7,-5 3,-2 4,0 4,0 2,2-1,0-3,6 9,-4-3,0-10</inkml:trace>
  <inkml:trace contextRef="#ctx0" brushRef="#br1">9068 55857,'0'0,"38"-37,-17 33,3-5,4-2,-1 3,-2 4,-9 4,-8 0,0 8,-8 7,0 2,-8 2,-4 1,2-4,1 0,1-8,8-6,8-2,15-2,-1-12,12-7,-2-4,12-2,16-1,17-9,13-2,2 0,-18 18,-13 2,-29 15,-11 2</inkml:trace>
  <inkml:trace contextRef="#ctx0" brushRef="#br1">10658 55684,'0'0,"0"-2,0 4,0 4,0 1,0-1,0 11,0-11,2 8,2-5,2 3,-6-8,2 1,2 1,-2-1,-2-5,0 0,0-11,0 2,-6-1,4 1,2 1,-4-1,2 4,2-5,0 3,0-1,0 0,2 5,2 1,-2-1,2 3,-2 0,0 0,2 8,0 0,0 4,0 2,5-5,-7 3,4-3,-2 1,0-6,-2-1,0-3,0 0,-2-7,0-5,4-1,0 0,-2 2,2 0,-1 0,1 3,1 5,-5-1,2 4,3 0,-3 0,0 4,4 4,0 0,-1 0,1 4,0-4,2 3,0 3,2-1,-2-8</inkml:trace>
  <inkml:trace contextRef="#ctx0" brushRef="#br1">10913 55721,'0'0,"-17"-28,9 27,2 1,4 0,-1 0,-3 0,4 0,-4 1,5 5,-3 0,4 7,0-6,0 0,0 1,5-2,3-1,-1-2,1-3,-2 0,2 0,-2-3,-1-2,-3 1,0 0,-2 2,2 2,0 0,2 0,2 0,-2 0,2 0,0 4,0-2,2 7,2-6,-2 4,3 2,3-5,-4 3,-4-7,2 0,0 0</inkml:trace>
  <inkml:trace contextRef="#ctx0" brushRef="#br1">11149 55692,'0'0,"-31"34,19-16,1 3,-1 2,2 0,4-8</inkml:trace>
  <inkml:trace contextRef="#ctx0" brushRef="#br1">11012 55710,'0'0,"69"32,-55-23,-1 3,5-1,1-1,-5 2,-2-8</inkml:trace>
  <inkml:trace contextRef="#ctx0" brushRef="#br1">9014 55800,'0'0,"-12"35,2-21,-6 3,5-2,0 1,-1-8,6 1,3-1,3-8,7 0,3 0,5 0,6 0,-3 0,4 0,-3 0,0 0,1 0,-2 0,-6 0</inkml:trace>
  <inkml:trace contextRef="#ctx0" brushRef="#br1">4778 56021,'0'0,"0"-2,0 9,4 1,-2 5,0-1,2 1,-2-1,-2 6,2-2,-2 4,0-4,3 1</inkml:trace>
  <inkml:trace contextRef="#ctx0" brushRef="#br1">5881 57142,'2946'-1087</inkml:trace>
  <inkml:trace contextRef="#ctx0" brushRef="#br1">8885 56080,'3026'1043</inkml:trace>
  <inkml:trace contextRef="#ctx0" brushRef="#br1">4987 56110,'0'0,"57"-23,-43 23,-2 0,2 8,-4 7,-2 0,-6 2,2-3,-4 7,0-7,-6-1,-6 0,4-9,-8-2,2-2,0 0,5 0,-5 0,6-3,2 2</inkml:trace>
  <inkml:trace contextRef="#ctx0" brushRef="#br1">5228 56123,'0'0,"4"7,0-3,-2 4,0-2,-2 2,0 7,0-3,0 9,0-6,0 0,0 1,0-1,0-5,2-2,4-4,5 3,-3-5,-1-2,3 0,-4 0,2 0,0 0,0-2,2 0,-2 2,0 0</inkml:trace>
  <inkml:trace contextRef="#ctx0" brushRef="#br1">5003 56150,'0'0,"10"54,-8-39,6 7,-8-5,8 0,-8-5,4 1,-1-1,-3-7,4 1</inkml:trace>
  <inkml:trace contextRef="#ctx0" brushRef="#br1">4738 56254,'0'0,"56"-10,-35 7,11 3,-11 0,-3 0</inkml:trace>
  <inkml:trace contextRef="#ctx0" brushRef="#br1">4831 56341,'0'0,"-35"44,27-32,0-4,2 2,0-3,4-1,0-4,2 0,0 2,2-4,6 0,-2 0,2 0,1 0,1 0,0 0,0 0,-6 0,2 0,0 0,0 0,0 0,-4 0</inkml:trace>
  <inkml:trace contextRef="#ctx0" brushRef="#br1">4864 56358,'0'0,"14"39,-12-25,2 3,-2 0,0-2,-2 1,4 1,0-2,-4-3,4-1</inkml:trace>
  <inkml:trace contextRef="#ctx0" brushRef="#br1">12088 56805,'0'0,"0"6,0 4,2-1,-2 8,0-1,0-2,0 1,0 2,0-7,2 1,-2 2,0-4,2-5,0 0,1 1,-3-3,6-2,-4 0,4 0,0 0,0-2,0-3,0 3,2-2,0 4,0 0,0 0,0 0,4 0,2 0,-4 0</inkml:trace>
  <inkml:trace contextRef="#ctx0" brushRef="#br0">12377 57197,'0'0,"31"0,-20 0,3 0,-4 0,4 0,-6 4,1 6,-1 1,-6 3,4 2,-2 0,2-2,2-3,4 7,-3-7,1-1</inkml:trace>
  <inkml:trace contextRef="#ctx0" brushRef="#br0">12566 57199,'0'0,"-54"71,42-57,-2 4,6 4,-3-5,9-6</inkml:trace>
  <inkml:trace contextRef="#ctx0" brushRef="#br1">8861 57325,'0'0,"8"58,-4-43,2-1,0 7,0-7,-4 0</inkml:trace>
  <inkml:trace contextRef="#ctx0" brushRef="#br1">9018 57440,'0'0,"-28"59,20-42,-7 5,8 4,-5-5,2-1,1 6,-1-9,6-2</inkml:trace>
  <inkml:trace contextRef="#ctx0" brushRef="#br1">9305 57500,'0'0,"2"5,0 3,2 2,0 5,1 1,-1 2,-3-2,-1 1,0-3,0 1,0-6,0-4,2-2,-2-1,4-2,-2 0,4 0,-2 0,4-2,0-1,0 1,6 1,-6 1,2 0,6 0,-3 0,-2 0</inkml:trace>
  <inkml:trace contextRef="#ctx0" brushRef="#br1">9008 57659,'0'0,"51"-31,-40 31,-5 0,0 0,0 9,-4 0,-2 6,0 0,0-4,-4 3,-4 1,4-5,-4 1,1 1,3-7,2 2,2-5,2-2,2 0,7 0,1 0,0 0,0-2,4 2,-3-4,3 1,-2 3,-4-4</inkml:trace>
  <inkml:trace contextRef="#ctx0" brushRef="#br1">13262 59703,'0'0,"6"48,4-27,-4 2,3 4,-5 0,4-5,2 6,-2-7,0-4</inkml:trace>
  <inkml:trace contextRef="#ctx0" brushRef="#br1">14787 59723,'0'0,"11"47,-3-28,0 4,11 8,-7-3,2-8</inkml:trace>
  <inkml:trace contextRef="#ctx0" brushRef="#br1">16256 59745,'0'0,"0"6,5 4,-1 4,4 2,0 3,0 0,0 1,3-1,-3-2,0-5,-2 0,-1-8,-5-4,0-8,0 0,-5 4,-9 0,4 0,-3 2,1-1,0 3,4 0,-3 0,3 0,0 0,4 0,-2 3,6 3,0-2,0 4,0 0,4-4,6 7,0-6,3 5,3-2,2-3,-1-3</inkml:trace>
  <inkml:trace contextRef="#ctx0" brushRef="#br1">16594 59745,'0'0,"6"6,-2 6,-4 0,6 4,-4 1,0 4,2-1,-2 2,2 2,0-2,4 0,1 2,-3-6,0-7</inkml:trace>
  <inkml:trace contextRef="#ctx0" brushRef="#br1">13704 59749,'0'0,"-13"0,13 10,0 6,4-2,5 5,-5-2,5 7,-1-2,5-4,-5 2,0-2,0 0,0-9</inkml:trace>
  <inkml:trace contextRef="#ctx0" brushRef="#br1">17874 59987,'0'0,"-4"-60,-1 42,3-11,-4 6,4-3,2 3,0 6,-4 5,4 5,0 3,0-3,0 5,6 2,2 0,3 4,4 8,0 0,-7 2</inkml:trace>
  <inkml:trace contextRef="#ctx0" brushRef="#br1">13149 59857,'0'0,"48"-8,-38 4,0 0,-6-6,2 1,-6 3,0-2,-4 5,-4-5,-8 8,5 0,-5 0,2 4,3 2,-2-1,5-1,1 2,3-1,0 4,2 0,2 3,0 2,2-2,10 2,-1 1,6-7,8-1,-4 3,-1-10</inkml:trace>
  <inkml:trace contextRef="#ctx0" brushRef="#br1">14466 59801,'0'0,"-16"0,10 0,0 0,-2 0,4 0,-2 2,0 0,0 1,-2-1,0 4,4-4,0 4,4-1,0 0,0 2,6-1,0-4,6 6,-4-2,2-3,2 4,-8 3,-2 0,-2-2,0 4,0-5,-2-1,-2-5,-4 1,2-2,-2 0,2-3,4-3,0-1,2 3,0 0,0 0,2 0,4 4,2 0,2-4,4 2,2 0,1-2,-3-1,0 3,-3 0,3-1,-2 1,-8-1,3 0,-3-3,2 4,-4-6,4 4,-2 0,-4 2,0-6,-8 8,2 0,-2 0,1 0,-5 3,4 4,-2 1,5 0,-1-2,0-1,6 0,0 2,0 2,2-1,10-4,-3 4,11-4,5-4,1 5,-4-5</inkml:trace>
  <inkml:trace contextRef="#ctx0" brushRef="#br1">14800 59829,'0'0,"49"-5,-31 5,4 0,-1 1,-1-1</inkml:trace>
  <inkml:trace contextRef="#ctx0" brushRef="#br1">15800 59824,'0'0,"0"12,0 1,0-3,4 2,4 4,1-4,-1 2,-4-3,2-2,-2-5,-2 0,-2-8,0-6,0 3,2-4,-2-1,0 2,2-1,-2 1,2 7,-2-3,2 2,0 2,-2 0,3 2,0 4,-1 2,2 5,0-3,4 5,-8 1,3-6,1-1,-4-5,2 0,0-9,2-3,-4-2,2-5,2 5,-2 1,7 1,-9 4,6-2,-4 8,-2 0,4 0,0 0,-2 12,4-6,2 4,0 1,0 2,1-1,2 0,1 5,-4-4,5 2</inkml:trace>
  <inkml:trace contextRef="#ctx0" brushRef="#br1">13580 59841,'0'0,"-46"-14,38 14,-2 2,6 0,0-2,4 8,0-6,0 2,4 0,2-2,6 2,0 0,-2 2,0-1,-2 1,0 1,-6 1,5 0,-1 0,-6-2,0 1,0-1,0-5,0 5,-4-4,0-2,-1 0,3 0,0-2,2-4,0 3,2-1,7-1,6 3,-2-2,13 0,-5-4,-2 2</inkml:trace>
  <inkml:trace contextRef="#ctx0" brushRef="#br1">14702 59831,'0'0,"-33"18,27-10,4 0,-2 0,2 2,2-2,0 0,6 0,7-2,11-6,-2 0,-6 0</inkml:trace>
  <inkml:trace contextRef="#ctx0" brushRef="#br1">15112 59849,'0'0,"-18"31,24-26,6-1,-8-4,8 0,-2 0,-3 0,-5-9,4 0,-6 3,0-4,0 2,0 0,-8 3,-3 2,2 3,-8 0,5 8,0 0</inkml:trace>
  <inkml:trace contextRef="#ctx0" brushRef="#br1">15251 59857,'40'52,"-40"-54,-2 0,-2-8,2 0,2 1,-2 1,2-3,0 5,0 2,0 0,0 2,0 0,0-3,4 2,2 3,2 0,0 0,2 0,-2 3,2 6,-2-3,2 2,-4 3,2-3,-3 7,3-1,-6-6</inkml:trace>
  <inkml:trace contextRef="#ctx0" brushRef="#br1">14972 59834,'0'0,"20"51</inkml:trace>
  <inkml:trace contextRef="#ctx0" brushRef="#br1">13423 59871,'0'0,"-34"-37,28 37,0 0,2 5,-2 5,6 2,0 0,0 4,0-4,0 0,8-5,0 0,0-7,-2 0,2 0,-6 0,4-7,2 0,-6 3,2-4,-4 0,0 6,0 0,4 2,-4 0,7 2,-5 4,11 2,-5 0,6-3,5 1,-1-4,0-1</inkml:trace>
  <inkml:trace contextRef="#ctx0" brushRef="#br1">18894 59841,'0'0,"2"35,6-14,0 2,0 2,0-1,9 6,-9-4,2-9</inkml:trace>
  <inkml:trace contextRef="#ctx0" brushRef="#br1">13862 59843,'0'0,"16"58,-3-46,-9-3</inkml:trace>
  <inkml:trace contextRef="#ctx0" brushRef="#br1">14020 59843,'0'0,"-52"6,46 0,-3 2,1-1,2 3,6 3,0-1,0-2,17 2,-1-2,12-2,0-6,-7 1</inkml:trace>
  <inkml:trace contextRef="#ctx0" brushRef="#br1">11726 60267,'0'0,"68"-65,-26 33,25-8,34-12,18-6,13 8,4 4,-3 15,-10 9,-18 8,-33 6,-21 6</inkml:trace>
  <inkml:trace contextRef="#ctx0" brushRef="#br1">17734 59871,'0'0,"-2"-18,0 16,2 0,-2 2,-4 0,4 0,-4 4,2 2,0 0,2 2,2 2,0-2,0 6,6-6,10 1,-4-4,5 5,-4-10,0 0,-1 0,-4-10,-8 5,0-4,0-3,-4 2,-8-3,4 6,-1 4,2 1,-1 2,-1 0,7 4,-2 2,4 1</inkml:trace>
  <inkml:trace contextRef="#ctx0" brushRef="#br1">15251 59857,'0'0,"30"40,-22-32</inkml:trace>
  <inkml:trace contextRef="#ctx0" brushRef="#br1">16393 59883,'0'0,"30"41,-22-38,4 5,0-6,2-2,-2 0,2 0,-4-10,-2 3,-4 0,-2-5,-2-6,0 3,-2 4</inkml:trace>
  <inkml:trace contextRef="#ctx0" brushRef="#br1">19733 59857,'0'0,"12"48,-4-33,0 10,4-8,1 4,-1-3,8 1,-1-5,-5-4</inkml:trace>
  <inkml:trace contextRef="#ctx0" brushRef="#br1">13687 59878,'0'0,"51"-12,-35 12,0 0,11 0,-5 0,-4-1</inkml:trace>
  <inkml:trace contextRef="#ctx0" brushRef="#br1">18480 59880,'0'0,"0"55,0-38,8-2,-3-1,3-1,-3-2,-2-4,-3-3,4-4,-8-8,1 1,-2-7,-3 1,3-3,3 1,0-1,-2 6,4 2,-2 4,2-4,0 2,2 2,6-3,3 3,-1-1,4 4,-4 1,-2 0,8 0,-8 6,0 1</inkml:trace>
  <inkml:trace contextRef="#ctx0" brushRef="#br1">16707 59871,'0'0,"14"64,-6-49,5-3,1 0,-4-3,4-4,1-3,-3-2,-1 0,-3-7,-4-7,-2 1,-2 0,0-3,-2 2,-4 10,0 0,-2 4,5 0,-1 0,4 4,0 0,6 1,1 1,1-3</inkml:trace>
  <inkml:trace contextRef="#ctx0" brushRef="#br1">16095 59878,'0'0,"-39"7,39 1,0 2,0 0,4-3,6 0,0 3,2-4,-4-4,9-2,-7 0,0-8,-4-2,-2 1,2 3,-6-5,0 3,-16 0,6 1,4 5</inkml:trace>
  <inkml:trace contextRef="#ctx0" brushRef="#br1">17863 59878,'0'0,"47"0,-18 0,-5 2,2 1</inkml:trace>
  <inkml:trace contextRef="#ctx0" brushRef="#br1">16992 59929,'0'0,"4"-24,-12 24,0 0,-8 0,8 0,-2 0,2 0,2 4,4-1,2-2,0-1,8 7,4 0,-2 3,2 0,-2 3,4-1,-10 0,5 0,-5 2,-4-1,0-2,0-3,0-1,-8-7,3 1,-3-1,-2 0,0 0,2-1,0-4,2 3</inkml:trace>
  <inkml:trace contextRef="#ctx0" brushRef="#br1">18628 59981,'0'0,"57"-29,-49 22,-4-3,2 1,-6 3,0 1,-4 3,0 2,-6 0,2 0,0 4,0-1,-4 3,4 1,3-1,1 2,2-1,2 6,0-4,6-1,5 2,5-1,0-4,12-1,-5 0,-7-4</inkml:trace>
  <inkml:trace contextRef="#ctx0" brushRef="#br1">18808 59935,'0'0,"-30"12,26-5,2 2,2-2,0 4,0-4,6 6,-2-6,9 1,0-4,3 1,-1-5,2 0</inkml:trace>
  <inkml:trace contextRef="#ctx0" brushRef="#br1">20039 59994,'0'0,"0"13,0-6,0-1,2-1,-2 4,2-3,-2-4,2 2,-2-6,0-8,0-4,0 1,-2-6,2 5,0 2,0 2,2 3,4 5,2 2,2 0,5 0,5 2,16 7,-5 4,-3-4</inkml:trace>
  <inkml:trace contextRef="#ctx0" brushRef="#br1">19117 59947,'0'0,"-47"0,41 5,2 3,2-4,2 4,0-4,4 4,4-4,2-4,-1 0,-1 0,0 0,0 0,-4-1,0-3,0 2,-2 2,0 0,-2 0,4 0,0 6,2-1,2-1,0 5,2-4,10 3,-7 1,-3-2</inkml:trace>
  <inkml:trace contextRef="#ctx0" brushRef="#br1">18918 59952,'0'0,"59"-2,-36 4,1 0,2-2,-6 0,-3 0</inkml:trace>
  <inkml:trace contextRef="#ctx0" brushRef="#br1">19210 59954,'0'0,"14"38,-8-27,-1-2,1-3,-1 1,-1-7,0 0,-2 0,0 0,0-5,-2-3,0-1,0-6,0 8,0-2,0 0,-2 2,2 3,0 4,2 0,2 0,-2 0,6 4,0 7,2-2,0 2,1 5,5-3,1 1,-3-2,-4-7</inkml:trace>
  <inkml:trace contextRef="#ctx0" brushRef="#br1">19443 60008,'0'0,"-23"-21,15 21,4 0,-2 0,0 0,6 5,0 2,0-1,0-3,4 5,4-6,-4 0,4-2,-1 0,-1 0,0 0,-4-4,0 0,2 0,-4-1,0 1,0-1,0 1,0 1,0 10,6 6,0-2,2 9,0-6,-1 9,3 1,4-5,-10 2,0-2,-2-5,-2-1,0-8,0-2,-2-3,0 0,0-3,2-6,0-8,0 1,0-2,4-4,1 6,1 6,-2-5,1 11,-3-2,1 2,3 1,-4 0,7-6,3-4,-2 4,1-4,-5 2,-2 6,-4 1,0 4,-2-2,-2 2,2 0,0 0,0 0,-1 0,3 3,0 1,0 2,0 3,7-4,1 5,0-3,0 2,0-5,2-2,-2 0,-4-2,2 0,0 0,-4-4,0-4,2-6,-3 5,1-4,4 2,-6-3,4 5,2 1</inkml:trace>
  <inkml:trace contextRef="#ctx0" brushRef="#br1">19930 59970,'0'0,"-41"-16,37 16,0 6,0 1,4 0,0 2,0 0,2 2,6-6,0 3,0 1,1-9,1 0,0 0,0 0,-4 0,4-9,-10 5,5 0,-5 4,0 0,0 0,2 4,2 0,0-2,11 5,-5-2,-2-1</inkml:trace>
  <inkml:trace contextRef="#ctx0" brushRef="#br1">11710 60196,'0'0,"4"31,-4-21,0 5,0-4,0 4,-8-2,0 3,3-5,-1 0,2-5,4 1,0-5,6-2,1-2,3-4,-2 1,4 3,0-3,7 5,-3 0,-2 0</inkml:trace>
  <inkml:trace contextRef="#ctx0" brushRef="#br1">16636 60218,'0'0,"17"54,-13-35,2 6,2-10,-4 1,6 1,-4-1,1 0,2-10,-9 1,2-5,0 0,0 0,-2-6,0-5,0 3,-4-6,2 2,2 0,0 6,0-5,0 4,2 1,6 0,-2 1,2 3,3-4,1 4,-4 0,2 7,-2 2,0 6,-1-3,-3 2,-2 0,-2-5,0 1,0-3,-6-7,-1 0,-1 0,0 0,0-9,0 3,2 2,4-1,2 3,6 2,-4 0,6 0,8-2,-8 0,7 0,-2 2,1-2,0-4,-1 4,-5 2,4-2,-3 0,0 0,-3 0,2-2,0 1,0-4,-6 3,0 0,-2-5,0 8,0-3,-4 0,-4 4,0 0,2 0,-2 0,2 0,-4 4,8 0,-4-3,4 8,-2-1,4-1,0 0,8 1,2 2,4-6,6-2,11 2,1-4,-3 0</inkml:trace>
  <inkml:trace contextRef="#ctx0" brushRef="#br0">8738 60301,'0'328</inkml:trace>
  <inkml:trace contextRef="#ctx0" brushRef="#br0">8228 60309,'0'296</inkml:trace>
  <inkml:trace contextRef="#ctx0" brushRef="#br1">17236 60369,'0'0,"-4"27,6-19,2-1,0 0,-1-2,3 0,-2-5,2 0,-4-3,-2-3,0-2,0 1,0-1,0-2,0 2,0 3,0 1,0-1,6 5,-4 0,4 0,-4 0,5 0,-1 0,-2 0,5 9,-5-2,-2 1,2 0,-2 0,4-1,-3-7,1 0,-2 0,0 0,2-4,2-3,-4-7,0 4,2-2,0 4,0-1,0 4,0 3,2 0,-1 2,-1 0,-2 4,6 1,-6 4,2 4,3-4,1 1,0 4,0-5,13-2,-7 0,7-2,1-1,-3-4,-4 0</inkml:trace>
  <inkml:trace contextRef="#ctx0" brushRef="#br0">8377 60409,'0'0,"0"66,2-52,-2-1,5 3,-3-6,0-4,-2-3,0 1,2-4,-2-7,0 1,0-4,0 0,0-1,0-3,-2 4,0-3,0-3,-3 0,5 1,-2 4,2 0,-4 0,4 4,0-2,0 3,0-1,0 5,6-1,-6 3,5 0,-1 0,-2 0,4 3,0 4,0 1,4 6,-6-4,8 4,-6 2,4-4,-2 2,2-1,-4-3,4-2,-7-4,4 0,-1-4,-4 0,2 0,-4-4,2-2,2-7,-4 1,0-2,0-2,0-2,0-2,0 6,0 2,0 4,0 8,2-2,0 2,0 0,4 0,-2 0,3 0,-1 0,1 0,-3 5,2 8,2 3,-8 0,4-1,0 1,2 1,-4-7,2 5,2-1,2 0,-3-1,1-8</inkml:trace>
  <inkml:trace contextRef="#ctx0" brushRef="#br1">17104 60354,'0'0,"-49"-5,47 7,0 3,-1-1,1 0,2 3,0-2,0 1,3 0,3 2,5-4,-3-2,2-2,-2 0,0 0,0 0,-2-6,2 1,-6 0,4 5,-3-6,-3 6,2 0,2 0,0 6,2-6,3 5,2 0,4 1,-1-4,-2 1</inkml:trace>
  <inkml:trace contextRef="#ctx0" brushRef="#br1">17697 60453,'0'0,"-2"-9,2 9,5 0</inkml:trace>
  <inkml:trace contextRef="#ctx0" brushRef="#br0">10852 60609,'0'0,"-59"4,51 0,1 0,1 4,4-8,2 8,0-6,0 4,8 1,-1 1,5 2,0 4,4-4,-4 6,0 4,-3-6,-2 9,-5-7,-2 1,0-5,-2-2,-5-5,-4-4,-3-1,4 0,-4-6,2-4,4 0,2-3,2 3,3 4,1 4</inkml:trace>
  <inkml:trace contextRef="#ctx0" brushRef="#br0">6742 60645,'0'0,"-17"0,5 3,6 11,-3-2,-1 2,4 2,-4-2,8 4,-2-8,4 2,4-1,8-7,4 2,-1-6,10 0,-2 0,-3 0,-3 0,-3-6,-8-5,2-5,-6 4,-2-6,-5 6,-4-3,-3 4,2 3,-3 0,-1 3,4 5,-1-5,5 5,0 0,4 0,0 0,4 0,-2 0,2 0,4 0,0 0,5 5,-1-5,6 0,3 0,-1 0,0 0,10 0,-9 0,2 0</inkml:trace>
  <inkml:trace contextRef="#ctx0" brushRef="#br0">9961 60664,'0'0,"-14"22,14-20,0 1,2-3,4 0,0 0,-4 0,1 0,2-3,-5 1,4-3,-4 3,0 1,-4 1,-1 0,0 0,1 0,2 1,-4 6,6-7,0 2,0 1,0-2,6 1,0 0</inkml:trace>
  <inkml:trace contextRef="#ctx0" brushRef="#br0">11091 60686,'0'0,"58"-7</inkml:trace>
  <inkml:trace contextRef="#ctx0" brushRef="#br0">7656 60706,'0'0,"55"-2</inkml:trace>
  <inkml:trace contextRef="#ctx0" brushRef="#br0">11134 60734,'0'0,"53"0</inkml:trace>
  <inkml:trace contextRef="#ctx0" brushRef="#br0">7651 60793,'0'0,"48"-7</inkml:trace>
  <inkml:trace contextRef="#ctx0" brushRef="#br0">6954 60793,'0'0,"8"46,-8-31,0 1,0-6,0-1,0 1,4-4,-4 0,0-2,0-2,2-2,-2-2,0-8,0 0,0 1,0-1,0 2,0-6,2 5,-2 1,2-1,0 3,-2 4,8 0,-4 2,4 0,-2 0,-2 4,2 9,0-3,-4 8,1-6,1-1,-2-4,0 2,4-6,-6-3,4 0,-2 0,1-10,-3 1,8-2,-8-3,4-2,-1 6,3 2,-4 3,5 1,-5 4,-2 0,2 2,4 5,-4 1,4 2,-6-1,4 5,2-8,2 2,-4-1,4-1</inkml:trace>
  <inkml:trace contextRef="#ctx0" brushRef="#br0">8066 60793,'985'0</inkml:trace>
  <inkml:trace contextRef="#ctx0" brushRef="#br0">9955 60835,'0'0,"24"28,-24-17,0 2,-4 5,-5 1,-2-3,-1 7,-2-10,0 3,1-5,1-7,-4-4,1 0</inkml:trace>
  <inkml:trace contextRef="#ctx0" brushRef="#br0">7205 60845,'0'0,"-19"-2,13 4,4 2,-1 1,1 4,2 0,0-3,0 0,0 1,5-3,3 3,1-7,-1 0,-6 0,6 0,-4-3,0-3,-2-1,-2 1,0 4,0 0,2 2,2 2,-4 0,6 2,-2-1,1 3,3-2,6 4,-4 2,4-6</inkml:trace>
  <inkml:trace contextRef="#ctx0" brushRef="#br0">7423 60851,'0'0,"-44"33,34-24,8 9,0-3,2-7</inkml:trace>
  <inkml:trace contextRef="#ctx0" brushRef="#br0">7332 60872,'0'0,"59"15,-48-7,1-1,3 0,-1 3,-2-8</inkml:trace>
  <inkml:trace contextRef="#ctx0" brushRef="#br0">8611 61003,'0'0,"-29"-11,15 11,0 0,-3 4,2 1,1 1,-3-5,8 3,-1 3,8-1,0-2,2 4,0-2,6 1,4-1,6 5,0-2,5-1,2 8,-3-5,-4 6,-5-5,-7 3,2-3,-6-2,0 2,-6-1,-3-3,1-4,-2 0,-6-4,4 0,-3 0,2-4,-1-2,2 0,4 0,-1 1,6 3,-3-2,4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2:25:08.783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E71225"/>
      <inkml:brushProperty name="ignorePressure" value="1"/>
    </inkml:brush>
  </inkml:definitions>
  <inkml:trace contextRef="#ctx0" brushRef="#br0">2768 34055,'0'0,"-2"-8,2 11,0 10,2-2,4 2,0-2,4 3,-4-2,4-3,-4-6,-1 2,6-5,1 0,-4-2,-2-9,0-1,-2 0,3-5,-5 4,-2-2,0 4,0 1,0 4,0 6,-2-6,0 6,2 6,0 9,2-3,2 8,2-3,2 7,-4 0,4 2,-4-1,-4 3,0-3,0-7,0-1,-2-1,-4-2,-2-6,0-4,-2-4,3 0,1 0,4-12,2 0,0 0,4-4,9 1,3 5,0-5,15-4,-1 4,-5-1</inkml:trace>
  <inkml:trace contextRef="#ctx0" brushRef="#br0">3111 34180,'0'776,"810"-776</inkml:trace>
  <inkml:trace contextRef="#ctx0" brushRef="#br1">5472 34461,'0'0,"20"26,-12-18,-4-3,4-1</inkml:trace>
  <inkml:trace contextRef="#ctx0" brushRef="#br1">9641 34526,'0'0,"41"-39,-25 23</inkml:trace>
  <inkml:trace contextRef="#ctx0" brushRef="#br1">9365 34731,'0'0,"59"-29,-37 20,-5 0</inkml:trace>
  <inkml:trace contextRef="#ctx0" brushRef="#br1">5762 34693,'0'0,"20"9,-8-2,-2-2,5-3</inkml:trace>
  <inkml:trace contextRef="#ctx0" brushRef="#br1">9095 34869,'0'0,"42"-26,-25 12</inkml:trace>
  <inkml:trace contextRef="#ctx0" brushRef="#br1">6092 34848,'0'0,"41"13,-34-7,5-4</inkml:trace>
  <inkml:trace contextRef="#ctx0" brushRef="#br1">8795 34962,'0'0,"41"-13,-31 9</inkml:trace>
  <inkml:trace contextRef="#ctx0" brushRef="#br1">6380 34949,'0'0,"19"0,-11 0,6 9,2-7,-2 1</inkml:trace>
  <inkml:trace contextRef="#ctx0" brushRef="#br0">4169 34958,'0'0,"-12"25,4-10,1 0,-3 8,-6-6,4 7,0-2,-2 1,6-8</inkml:trace>
  <inkml:trace contextRef="#ctx0" brushRef="#br0">4025 34990,'0'0,"22"-16,-13 18,3 7,-2 4,6 2,-2-3,-2 9,2-2,-1 1,-3-4,-2-3,-4-2,4-5,-8-2</inkml:trace>
  <inkml:trace contextRef="#ctx0" brushRef="#br1">6786 35044,'0'0,"45"0</inkml:trace>
  <inkml:trace contextRef="#ctx0" brushRef="#br1">8475 35062,'0'0,"43"-7,-21 5,-8-1,2-1</inkml:trace>
  <inkml:trace contextRef="#ctx0" brushRef="#br1">7090 35079,'0'0,"48"22,-31-22,-1 0,-5 0</inkml:trace>
  <inkml:trace contextRef="#ctx0" brushRef="#br1">8164 35138,'0'0,"51"-1,-41-1</inkml:trace>
  <inkml:trace contextRef="#ctx0" brushRef="#br1">7411 35138,'0'0,"47"0,-42 4,6-4</inkml:trace>
  <inkml:trace contextRef="#ctx0" brushRef="#br1">7773 35159,'0'0,"24"2,-16-2,2 0,2 0,-2 0</inkml:trace>
  <inkml:trace contextRef="#ctx0" brushRef="#br1">7831 35465,'0'0,"13"40,-11-32,2-2,0-4,-2 3,0-3,-2-9,0 5,0-12,0 6,-2-9,0 5,-2-1,2-4,0 4,0-3,-1-1,3 2,-2 4,2 0,0 3,0 5,0 1,2 4,3 6,-1-1,8 9,-4-6,7 0,-5 4,6-7,0 2,-3-4,5-3,-5 0,3-2</inkml:trace>
  <inkml:trace contextRef="#ctx0" brushRef="#br1">7833 35385,'0'0,"50"58,-16-6,7 13,7 9,2 8,-1-9,2-7,2-1,-19-18,-4-9</inkml:trace>
  <inkml:trace contextRef="#ctx0" brushRef="#br1">10759 36074,'0'0,"-19"47,17-36,2-2,0 0,0-3,0 0,2-12,2 0,-2 0,-2-6,0-1,4-2,-1 0,-3 0,4 2,-4 0,0 3,0 8,0 4,0 8,2 1,0 1,0 1,4 1,0-5,1 5,1-5,2-1,2-2,1-6,1 0,0 0,3-10,-6 1,1-9,0 9,-2-9,-4 7,-4-5,-2-1,0 1,0 5,-8 2,2 2,0 7,-8 0,2 7,0-2</inkml:trace>
  <inkml:trace contextRef="#ctx0" brushRef="#br1">8481 36160,'0'0,"0"45,0-34,0 2,0-4,0 2,0-7,0 2,0-14,2-2,-2-2,0-1,0-6,6 4,-6-5,2 2,-2 1,0 1,2 8,-2-2,0 10,6 0,-6 6,4 4,-1 8,5-5,0 3,0 1,4-3,-6-4,4 1,-3-3,-2-4,1-4,1 0,-7-4,4-7,-4 1,8-3,-8-7,2 5,1 0,-1 2,-2 1,0 4,4 2,0 2,-2 2,2 2,-2 2,0 2,4 2,-4 2,6 6,-2-3,4 1,-1 0,3 1,1 0,-2-5,1-1</inkml:trace>
  <inkml:trace contextRef="#ctx0" brushRef="#br1">8988 36093,'0'0,"-28"37,22-18,-2 1,4 1,-4 7,4-8,2-3</inkml:trace>
  <inkml:trace contextRef="#ctx0" brushRef="#br1">10450 36093,'0'0,"0"37,0-27,0 0,4 0,2-3,-4-1,7 1</inkml:trace>
  <inkml:trace contextRef="#ctx0" brushRef="#br1">10052 36114,'0'0,"29"-11,-25 11,4-4,2 4,0-1,-5 1,1 0</inkml:trace>
  <inkml:trace contextRef="#ctx0" brushRef="#br1">10308 36107,'0'0,"47"-9,-31 9,-4 0</inkml:trace>
  <inkml:trace contextRef="#ctx0" brushRef="#br1">10573 36099,'0'0,"-28"33,28-25,0 1,4-2,4-3,2-2,-2 0,6-2,-5 0,6-2,-4-8,4 2,-7-4,-6 5,-2-4,0 4,-2 1,-6 3,-7 3,6 0,-4 0,5 0,-1 0</inkml:trace>
  <inkml:trace contextRef="#ctx0" brushRef="#br1">9611 36140,'0'0,"45"-26,-33 19,2 4,-6 0</inkml:trace>
  <inkml:trace contextRef="#ctx0" brushRef="#br1">8770 36103,'0'0,"-8"51,4-32,4 0,-4 1,0-3,4-3,0 0,-2-3,2-8,0 1,2-9,2-6,-2-1,0-3,-2 1,4 1,-4-2,0 3,0-2,0 2,0 4,0-4,0 7,0-1,0 2,2-2,-2 2,2 4,2 0,-2 4,6 6,-3-1,1 5,0-4,7 5,-5-2,4 2,-6-7,2 1,0 2,-2-4,-2-1,0-3</inkml:trace>
  <inkml:trace contextRef="#ctx0" brushRef="#br1">10341 36104,'0'0,"0"45,4-32,0-4,-4 0,6-2,0 0,-6-4</inkml:trace>
  <inkml:trace contextRef="#ctx0" brushRef="#br1">9345 36127,'0'0,"35"-6,-23 10,1 0,-1 5,-3 0,3 0,-2 8,-6 0,-1-2,-1 5,-2-5,0-2,-2 4,-5-3,-3-9,0 6,4-9,1 2,1-2,0-2</inkml:trace>
  <inkml:trace contextRef="#ctx0" brushRef="#br1">10237 36123,'0'0,"-36"21,32-15,0 6,2-1,2-2,0-1,2-1,4-3,2 0,2-4,0 0,4-2,-2-4,-2-1</inkml:trace>
  <inkml:trace contextRef="#ctx0" brushRef="#br1">9778 36138,'0'0,"37"-8,-33 7,12-1,-8 2,0-2</inkml:trace>
  <inkml:trace contextRef="#ctx0" brushRef="#br1">9577 36127,'0'0,"-8"53,8-36,0 2,0-3,0 3,4-5,0-2,4-5,-4-4,9-3,-4 0,1-8</inkml:trace>
  <inkml:trace contextRef="#ctx0" brushRef="#br1">8891 36130,'0'0,"49"32,-39-21,0-2,2-4,6 3,-3-6,1 0</inkml:trace>
  <inkml:trace contextRef="#ctx0" brushRef="#br1">9926 36130,'0'0,"0"34,0-16,0-10,0 3,0 2,0-4,3-1,-3-5,8 4,-4-5,0-2,6 0,-4 0,-2 0,2 0,-4-2,6-1,-1-3,-5 5</inkml:trace>
  <inkml:trace contextRef="#ctx0" brushRef="#br1">10048 36144,'0'0,"0"46,0-35,2-2,0-3,0 1,4-4,-1-3,-1 0,-4 0,6-1</inkml:trace>
  <inkml:trace contextRef="#ctx0" brushRef="#br1">9766 36150,'0'0,"-8"51,8-38,0-2,4-4,-4 4,4-3,-2 0,-2-6,2 2</inkml:trace>
  <inkml:trace contextRef="#ctx0" brushRef="#br1">10077 36162,'0'0,"41"-4,-35 2</inkml:trace>
  <inkml:trace contextRef="#ctx0" brushRef="#br1">9335 36169,'0'0,"4"36,0-16,-4-7,4 2,0-7,1-1</inkml:trace>
  <inkml:trace contextRef="#ctx0" brushRef="#br1">9607 36203,'0'0,"49"-19,-33 17,-10-7</inkml:trace>
  <inkml:trace contextRef="#ctx0" brushRef="#br1">8780 36214,'0'0,"46"-17,-36 15</inkml:trace>
  <inkml:trace contextRef="#ctx0" brushRef="#br1">9794 36218,'0'0,"47"-10,-37 7</inkml:trace>
  <inkml:trace contextRef="#ctx0" brushRef="#br1">10091 36231,'0'0,"27"0,-21 0,4 0,-6 0,2 0</inkml:trace>
  <inkml:trace contextRef="#ctx0" brushRef="#br1">9615 36287,'0'0,"10"-8,-4 6,6 2,-7 0,5 0</inkml:trace>
  <inkml:trace contextRef="#ctx0" brushRef="#br0">6798 36847,'0'0,"15"-11,-11 9,4-1,-2 3,2 0,-6 0,7 5,-5 0,0 1,-4-5,0 6,0 1,-4-5,0 2,-5 3,7-8,2 3,-4-3,4 2,4-2,-2 0,11 5,-7-3,0 4,0 3,2-1,0 0,-3 2,3 0,-6-1,-2-4,0 3,0-4,0 3,-8-7,1 0,3 7,-8-7,6 0,-4 0,-5 0,9 0,0-7</inkml:trace>
  <inkml:trace contextRef="#ctx0" brushRef="#br0">4191 36914,'0'0,"-8"0,4 6,0 8,-2 0,0 7,-2 13,2 12,0-2,6-2,0-16,8-2,0-6,0-7,10 7,-2-2,3-7</inkml:trace>
  <inkml:trace contextRef="#ctx0" brushRef="#br0">5334 36922,'0'0,"-8"0,0 3,3 4,-1-3,0 4,2-1,0-2,1 7,3-7,0 2,0-2,3 2,5 1,0-1,3-1,3 3,-2 2,1 0,-3 2,-3 3,-1 1,-6-6,0 0,-6 5,1-9,1 2,-8-7,1 4,-1-6,0 0,1 0,3-2,0-4,3 1,1-4,2 1,2-4,0 3,2-2,2 3,5-6,1 3,-4 3,5 0,-3 4,0 0</inkml:trace>
  <inkml:trace contextRef="#ctx0" brushRef="#br0">6482 36951,'0'0,"31"-15,-20 15,-1 0,1 8,3-2,-6-1,0 4,-2-4,-2 8,-4-10,0 10,0-10,-4 5,-2-4,-6 0,4 1,-2-5,-3 2,5-2,-3 0,7 0</inkml:trace>
  <inkml:trace contextRef="#ctx0" brushRef="#br0">4761 36950,'0'0,"12"37,-3-23,1 7,2 0,-3 2,3 1,0 0,0 1,-4-3,0 3,-4-4,-4 10,-12-13,6-5</inkml:trace>
  <inkml:trace contextRef="#ctx0" brushRef="#br0">6488 36951,'0'0,"0"18,2-5,0-8,-2 8,9-2,-9 2,6-2,-4-2,-2 1,0-3,2 0,-2-5,0 1</inkml:trace>
  <inkml:trace contextRef="#ctx0" brushRef="#br0">6663 36968,'0'0,"6"32,-6-23,0-1,0 4,0-2,0 0,6-5,-4 0,2 2,0-5,4 3,-4-5,3 0,-1 0,2 0,-2 0,3 0,2-5,-7 5,2 0</inkml:trace>
  <inkml:trace contextRef="#ctx0" brushRef="#br0">5601 37039,'0'0,"34"0,-22 0,0 0,-1 0,-5 0</inkml:trace>
  <inkml:trace contextRef="#ctx0" brushRef="#br0">4267 37073,'0'0,"0"18,2-10,-1 3,1 1,-2-2,2-1,2 2,-4-6,0 1,6 0,-4-6,-2-10,0 3,0-1,0 0,0 2,-2-8,2 1,0 7,0 0,0 1,0-1,2-1,2 7,0 0,-4 0,7 0,1 9,-6-1,7 3,-1 0,-3 1,-2 0,3-4,-4 0,0-3,0-3,-2-2,0-7,0-1,0-4,0 2,0-9,0 9,0 3,4-6,-2 8,0-2,2 7,0 0,-2 0,2 5,2 2,-4 2,4-1,0 1,-2 2,8 3,-6-2,-2-4</inkml:trace>
  <inkml:trace contextRef="#ctx0" brushRef="#br0">4472 37112,'0'0,"-4"34,4-21,0-3,0 0,0-4,4-3,-4-3,2-3,2-4,-4-2,0-6,0 5,0-4,0-4,0 7,0-2,0 5,0 1,2 0,-2 4,0 1,4 2,0 0,-2 0,4 5,1 2,-1 6,-2-6,4 1,0 7,2-1,1-3,-3 0,2 6,-4-8,-2-2</inkml:trace>
  <inkml:trace contextRef="#ctx0" brushRef="#br0">4690 37086,'0'0,"-37"34,29-19,2-6,0 6,6-2,0-4</inkml:trace>
  <inkml:trace contextRef="#ctx0" brushRef="#br0">4617 37090,'0'0,"34"32,-19-24,-5 1,4 4,-8-10</inkml:trace>
  <inkml:trace contextRef="#ctx0" brushRef="#br0">6106 37090,'0'0,"16"0,-12 0,4 0,-2 0,2 1,3 1,-1-2,8 0,-2 4,-8-4</inkml:trace>
  <inkml:trace contextRef="#ctx0" brushRef="#br0">5655 37101,'0'0,"26"-4,-16 4,3 0,-7 0</inkml:trace>
  <inkml:trace contextRef="#ctx0" brushRef="#br0">4494 37144,'0'0,"39"-3,-27 3,-3 0</inkml:trace>
  <inkml:trace contextRef="#ctx0" brushRef="#br0">6376 37199,'825'0</inkml:trace>
  <inkml:trace contextRef="#ctx0" brushRef="#br0">6393 37375,'0'0,"-17"20,13-13,-4-3,6 1,-4 3,2 0,0-8,4 4,-2-4,2 3,6-3,-2 0,4 0,0-3,0-1,1 4,-1 0,2 0,-2 0,-2 0,2 0,0 0,-4 0</inkml:trace>
  <inkml:trace contextRef="#ctx0" brushRef="#br0">6541 37402,'0'0,"-9"-5,7 10,-2-4,2 4,2-2,0-3,0 8,2-8,6 0,-1 0,-3 0,2 0,4-6,-8 4,4-3,-2 2,-2-5,-2 4,0 2,0-2,-6 2,0-4,2 6,-4 0,2 0,2 0,-3 0,3 0</inkml:trace>
  <inkml:trace contextRef="#ctx0" brushRef="#br0">6969 37387,'0'0,"31"-4,-21-2,4 6,-4 0,0 0,2 0,0 0,1 0,-6 0</inkml:trace>
  <inkml:trace contextRef="#ctx0" brushRef="#br0">6739 37391,'0'0,"27"-4,-13 4,-4 0,1 0,1 0,-4 0</inkml:trace>
  <inkml:trace contextRef="#ctx0" brushRef="#br0">6421 37391,'0'0,"10"28,-8-14,2-1,-2-1,0 0,0-2,4 2,-2-1,-2-5</inkml:trace>
  <inkml:trace contextRef="#ctx0" brushRef="#br0">7024 37395,'0'0,"4"34,-2-22,2-3,-2 1,0 0,2-2,2 0,-2-3,0-2</inkml:trace>
  <inkml:trace contextRef="#ctx0" brushRef="#br0">6746 37419,'0'0,"4"27,-4-23,0 4,8-1,-4-2,0-1,-2 4,4-4,0-1</inkml:trace>
  <inkml:trace contextRef="#ctx0" brushRef="#br0">6581 37441,'0'0,"-20"17,20-12,0 6,0-5,2 0,4 0,2 0,-2-6,4 5,2-5,-5 0,2-5,-1-1,-2-2,-4-2,2 1,-4 2,0-1,-6 1,0 1,-2 0,-3 4,6 0</inkml:trace>
  <inkml:trace contextRef="#ctx0" brushRef="#br0">6790 37443,'0'0,"31"0,-25 0,0 0</inkml:trace>
  <inkml:trace contextRef="#ctx0" brushRef="#br0">6807 37509,'0'0,"34"0,-17 0,-11 0,2 0</inkml:trace>
  <inkml:trace contextRef="#ctx0" brushRef="#br0">7046 37513,'0'0,"26"0,-12 0,-4 0,6 0,-2 0,0 0,3-2,-5 2,-1-2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8T19:01:07.235"/>
    </inkml:context>
    <inkml:brush xml:id="br0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31257 52694,'0'0,"16"34,1-18,-2 16,3-1,-2 9,1 15,1 24,-1-17,-9 4,-4-7,-4-17,-2 2,-11 6,-5-3,-21 7,11-13,-4-12</inkml:trace>
  <inkml:trace contextRef="#ctx0" brushRef="#br0">31257 52764,'0'0,"0"8,-6 4,3 2,-5-2,-2 4,-2 3,10-5,-6 1,4-1,2-3,2-8,0 1,0 2,6-6,-4-6,6-1,0-2,0-7,-2 8,2-9,-3-4,-1 3,6 0,-4-2,1 1,3 3,-10 5,7-2,-5 6,-2 3,2 4,0 0,0 0,2 0,-2 0,8 0,-2 0,2 0,-2 9,1-7,1 5,0-1,-2-4,3 1,-5 1,2-2,0 1,-2-1,2 0,-1 0,2 3,-1-3,-4-2,4 3,-6 1,-2-2,0 4</inkml:trace>
  <inkml:trace contextRef="#ctx0" brushRef="#br0">30765 52751,'0'695</inkml:trace>
  <inkml:trace contextRef="#ctx0" brushRef="#br0">28251 52929,'0'0,"-8"33,14-24,0-3,0 0,0-1,0-2,4-3,-1 0,1 0,1 0,-5-8,0-2,0 1,-4-1,0 4,-2 1,0 1,0-2,-10 4,4 0,0 0,-5 2,3 0,4 0,-3 0,3 6,-2 2,2-1,2-1,0 4,2 3,0-6,6 0,6 1,-1-4,4-4,-5 0,-4 0,4 0,-4-8,-6 1,0-4,0-2,0 3,0 0,-8 5,0-1,0 2,-5 2,7 2,0 0,-3 0,7 2,-4 10,2-5,4 5</inkml:trace>
  <inkml:trace contextRef="#ctx0" brushRef="#br0">30432 53025,'0'0,"0"-26,0 18,0 1,2 4,-2-1,0-2,0 3,0 1,0-2,-2 4,0 6,-2 3,-2 0,6 4,0-1,0 0,0-1,0-6,6 3,0-2,6 0,-2-6,0 0,2 0,-4 0,0-12,-2 4,0-3,-6 0,0-7,0 8,0-2,-6-1,-2-1,-2 7,3 3,-2 0,1 4,0 0,0 0,0 8,-4-1,6 7,4-1,-4-1,4 7,2-10,0 6,2-6,10 1,-4-2,4-6,-2-2,0 0,-2 0,2-8,-6 0,2-3,-6-6,0 8,0-8,0 5,-6 4,-1 1,-4 0,3 7,-2 0,0 0,2 11,2-2,4 0,-2 4,4-4,0 0,6-3,6-1,0 1,2-6,4 0,-4 0,-6 0</inkml:trace>
  <inkml:trace contextRef="#ctx0" brushRef="#br0">32827 52960,'0'0,"69"-21,-50 21,-1 4,1 1,-11 4,-2 2,-6 0,0 1,-10 2,-2-2,-3 1,-1-4,3-3,5-2,2-2,1 6,1-8,11 0,3 0,1 0,3 0,0 0,1 0,-3 4,4 8,-8-2,0 7,-1 2,-6-6,-1 6,0-4,-1-2,-14 3,-1-1,0-7,-5-3,5 2,6-3,1 1,5-5,8 0,5 0,1 0</inkml:trace>
  <inkml:trace contextRef="#ctx0" brushRef="#br0">32529 52964,'0'0,"-15"-12,12 12,1 10,-4 1,2-1,2-2,0 2,2-1,0 2,0-2,8-5,2-3,2-1,0 0,1 0,-3-10,-2 2,-4-1,0 0,-4-4,0 4,0 3,-6-3,-2 7,-2-6,2 6,-3 2,3 0,1 0,0 0,5 0,-4 10,4-6,2 9,0-7,0 2,10 0,-3 1,8-2,-4-5,1 0,-4-2,-2 0,0 0,-6-4,0-1,-8 3,2-7,0 9</inkml:trace>
  <inkml:trace contextRef="#ctx0" brushRef="#br0">32819 52991,'0'0,"12"84,-10-62,6 6,-2-4,-2-9</inkml:trace>
  <inkml:trace contextRef="#ctx0" brushRef="#br0">27629 53085,'0'0,"-4"73,4-50,0 2,0-6,0 3,0-6,0-5,2-4,4 0,-4-7,2-7,-2-8,0-4,2-6,-2-2,0-2,0-5,-2 0,4 7,-2 5,-2 5,0 4,0 5,3 5,-3 0,4 1,0 2,0 0,3 5,-1 8,6 7,3 2,-3 6,8 0,-3-2,5 2,4-4,-7 2,0-4</inkml:trace>
  <inkml:trace contextRef="#ctx0" brushRef="#br0">27676 53197,'0'0,"70"-33,-45 33,1-4,-4 4</inkml:trace>
  <inkml:trace contextRef="#ctx0" brushRef="#br0">30951 53168,'0'0,"-2"-4,2 8,2 1,7 9,-1 7,2-4,-2 8,6-5,-6 0,0-2,-2-6,-6-4,2 1,4-5,-4-4,0 0,2-8,-4-5,4-1,-2-2,2-8,2 8,-6-6,4 8,-3 4,1-3,4 9,2 0,0 4,0 0,-2 0</inkml:trace>
  <inkml:trace contextRef="#ctx0" brushRef="#br0">31632 53263,'0'0,"0"-13,0 19,0 8,0 6,0-2,-4 2,4 6,-2-1,2 3,0-10,0 3,0-11,2 1,4-9,-4-2,0-2,3-9,-5 0,2-9,-2 2,2-8,-2-1,0 1,0-2,0 4,0 9,0 4,0 6,0 1,-2 8,2 7,0 3,0 6,0 0,2 5,6-2,-2-2,0-6,0 2,2-7,-6-6,4-2,-4-2,2 0,0-6,0-8,4-4,-2-5,2 2,-2-4,-1 5,0-2,1 8,-6 4,0 6,2 4,2 6,-2 8,0 1,4 4,-2 1,-2 1,6 0,-8 2,2-1,3-1,-1-5,-2 3,0-7,2 1</inkml:trace>
  <inkml:trace contextRef="#ctx0" brushRef="#br0">30476 53389,'0'0,"0"-54,0 47,0 1,0-1,-10 7,0 0,-6 0,2 5,2 4,-2 11,0-6,8 10,1 0,5-1,0-1,3-5,7 3,8-7,2-7,8-4,-2-2,2 0,0-13,-3 5,-8-6</inkml:trace>
  <inkml:trace contextRef="#ctx0" brushRef="#br0">30679 53456,'0'0,"14"15,-10 0,-2 0,3 1,3 1,-4-4,6-1,-6-4,2-2,2-2,0-4,-4 0,1 0,0-10,3-2,-6-3,4-3,0-3,-2 4,5 0,-3 6,-4 1,3 9,-2-7,-1 8,-2 0</inkml:trace>
  <inkml:trace contextRef="#ctx0" brushRef="#br0">26758 54288,'0'0,"2"13,-2 1,4 4,0-2,2 14,-2-8,2 3</inkml:trace>
  <inkml:trace contextRef="#ctx0" brushRef="#br0">27239 54299,'0'0,"12"51,-7-32,-3 2,0 2,0-4,2 5,-2-7,0 1,3-2,1-4,0-6,4 0,-2-4,3-2,-1 0,0-2,2-4,-1 2,-1 0,-2-2,0 2,-2 4</inkml:trace>
  <inkml:trace contextRef="#ctx0" brushRef="#br0">26995 54446,'0'0,"0"-3,0 6,0 5,0 0,2 5,0 1,0 2,2 0,-2 2,2-5,0-4,2-2,-1-4,-1-3,0 0,2-3,0-3,1-4,-5-3,0 5,0-2,-2 6,0-2,0 4,2 2,0 2,2 6,0-6,3 8,3-8,4 2,-1-2,1-2,1 0,-5 0,-2 0,-4 0,-2-6,-2-2,0 0,0-4,-2 0,-4 0,-2-3,2 3,-3 1,7 0,-4 5,4 4,-2 0</inkml:trace>
  <inkml:trace contextRef="#ctx0" brushRef="#br0">26736 54533,'0'0,"53"-22,-32 12,7-5,1 2,-10 4</inkml:trace>
  <inkml:trace contextRef="#ctx0" brushRef="#br0">26828 54639,'0'0,"10"-9,0 8,3-7,-3 4,-2-1,-1 5,-1 0,-4 0,-2 7,0 3,0 0,-4 7,0-3,-1-1,1 1,-2-2,6-3,-8 1,6 1,-3-4,3 1,2-3,0-3,7-2,3 0,-2 0,-1 0,5-2,-1-3,-1-3,-2 6,2-3,2-3,-6 0,2 6</inkml:trace>
  <inkml:trace contextRef="#ctx0" brushRef="#br0">30168 55760,'0'0,"14"50,-13-31,0-6,-1 1</inkml:trace>
  <inkml:trace contextRef="#ctx0" brushRef="#br0">30365 55950,'0'0,"19"45,-19-31,0 1,0 0,2-5,2 2,-2-4,0-2,2-2,-2-4,4 0,2 0,-4 0,8-8,-6 2,4-1,-4 0,4 1,1 6,-6 0,-1-2</inkml:trace>
  <inkml:trace contextRef="#ctx0" brushRef="#br0">30150 56017,'0'0,"57"-43,-45 41,-2-2</inkml:trace>
  <inkml:trace contextRef="#ctx0" brushRef="#br0">30201 56140,'0'0,"6"-12,0 10,-4 0,6-2,-2 4,-2-2,5 2,-3 0,-2 0,2 2,-2 4,0-2,0-1,-2 8,0-1,-2-2,0 7,-4 0,-2 2,-2-5,0 3,8-5,-4-3,2-2,2 0,2-5,2 0,4 0,2-5,-4 0,3 2,1-5,2 4,-3 0,-1-4</inkml:trace>
  <inkml:trace contextRef="#ctx0" brushRef="#br0">32933 56124,'0'0,"8"-2,-7 10,1 2,0 4,2 0,-2 1,2 11,-2-4,0-3</inkml:trace>
  <inkml:trace contextRef="#ctx0" brushRef="#br0">33488 56221,'0'0,"6"62,-6-38,2-4,0 2,0-3,-2 2,7-7,-5-3,6-5,-2-4,2 6,2-8,2 0,0 0,1 0,0-8,-3 8,-2 0,4 0,-4 0</inkml:trace>
  <inkml:trace contextRef="#ctx0" brushRef="#br0">32734 56224,'0'0,"8"0,-6 0,10 0,-4 0,4 0,-2 0,9 0,-7 0,2 0</inkml:trace>
  <inkml:trace contextRef="#ctx0" brushRef="#br0">33215 56325,'0'0,"-2"12,2 0,0-1,4 4,-4 1,4-4,0 1,1-4,1 1,0-4,2-4,-2-2,3 0,-1-6,-4-9,0 1,-4 0,2 0,-2-2,0 9,0 3,0 0,-2 4,2 0,0 8,0 1,0 0,6 3,1-5,7-1,-3 0,5-4,-5 4,1-6,-4 0,0 0,-4 0,0-9,0-2,-4-1,0-2,-4 1,0-3,-4 5,2 5,0-1,0 1,-2 0,8 3</inkml:trace>
  <inkml:trace contextRef="#ctx0" brushRef="#br0">32931 56380,'0'0,"51"-16,-33 16,-3-2,-3 2</inkml:trace>
  <inkml:trace contextRef="#ctx0" brushRef="#br0">32954 56549,'0'0,"50"-24,-35 17,-5 7,0 0,-4 0,-4 0,-2 7,0 6,-8-4,-2 4,-4 5,-1-5,5 0,0-6,4 2,6 0,4-9,6 0,2 0,0 0,5 0,-1 0,-1 0,13 0,-7 0,-4-9</inkml:trace>
  <inkml:trace contextRef="#ctx0" brushRef="#br0">32843 58572,'0'0,"26"-9,-20 7,5-3,-3 5,-2 0,-3 0,3 7,-6 2,0 0,0-1,0 6,0-4,-6-2,3 3,-1-7,2 3,2-5,0-2,2 0,5 0,3-2,0-2,-2 1,5 3,1 0,-4 0</inkml:trace>
  <inkml:trace contextRef="#ctx0" brushRef="#br0">32003 58572,'0'0,"0"-6,0 3,2 3,2 5,-2 4,0 3,0 6,4-4,-4 4,3 6,-5-1,6-4</inkml:trace>
  <inkml:trace contextRef="#ctx0" brushRef="#br0">32672 58636,'0'0,"8"0,-4 3,-4 6,0 6,0-1,0 6,0-1,0-2,0 2,2 1,2-8,-1 1,1-2,0-7,5 0,-5-4,4 0,2 0,-4 0,0-4,2 4,-2-4,0 2,6 2,-6-5,4 5,-2-4,1-1,-3 3</inkml:trace>
  <inkml:trace contextRef="#ctx0" brushRef="#br0">32364 58770,'0'0,"0"2,0 6,2 4,-2 6,0-2,0 2,6 2,-2-10,4 7,-2-9,6-6,-4 2,1-4,2-4,-7-4,0-7,2 4,-6 1,0-3,0-1,0 7,-6 2,4 5,0 0,-2 0,4 8,4 1,4 0,0 4,2-6,2-4,1 4,3-5,-1-2,-4 0,4 0,-7-9,0 2,-8-9,0-2,0 2,-8-4,-2 2,-3 2,6 5,0-1,1 6,0 3,4 0</inkml:trace>
  <inkml:trace contextRef="#ctx0" brushRef="#br0">30488 59340,'0'0,"-6"0,12-4,4-3,2 0,6-3,7-4,6-3,2 1,0-1,-2 6,-8 3,-7 8,-6 0,-8 8,-2 9,0 1,0 0,-4-2,-2-2,4-2,2-4,0-3,12-5,4-9,2-7,6-4,7-5,1-5,13-7,12-10,16-9,13-1,2 2,7 8,-12 6,4 1,-13 5,-20 9,-15 10,-18 6,-9 4,-8 4,-4-5,0 4</inkml:trace>
  <inkml:trace contextRef="#ctx0" brushRef="#br0">31999 58818,'0'0,"47"-24,-31 18,8 2,-2 0,-1-2,5 6,-2-2,-5 2</inkml:trace>
  <inkml:trace contextRef="#ctx0" brushRef="#br0">32129 58918,'0'0,"0"-17,-4 17,1 0,-1 4,-4 3,0-1,2 3,-2 3,4-1,0-2,4 3,0-3,6-5,2-1,2-3,4 0,-3-2,3-8,-2-1,-4-1,-4 2,-2-5,-2 6,-2 3,-4 6,-6 0,-2 0,4 6,3 3</inkml:trace>
  <inkml:trace contextRef="#ctx0" brushRef="#br0">32161 59023,'0'0,"-20"25,12-16,2 4,4 0,-3 2,3-8,2 6,0-3,7-4,1-3,4-3,4 0,0 0,0-9,-5-5,-3-2,0-1,-8 1,0 1,0 2,-4 1,-4 6,-2 2,8 4</inkml:trace>
  <inkml:trace contextRef="#ctx0" brushRef="#br0">30450 59281,'0'0,"28"-6,-26 6,0 0,0 0,-2 4,0 1,0 5,-2 0,-2 4,-3-5,0 4,-1-2,0-2,6 0,-4-2,2-3,2 2,2-6,6 0,4 0,4 0,-2 0,0 0,6 0,-2 0,0-6,-1 4,-3 2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4:22.6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 25 5721,'0'0'14867,"-12"-5"-14315,-37-14-92,47 19-426,1 0 0,-1-1 0,1 1 0,-1 0 0,1 0 1,-1 0-1,0 0 0,1 1 0,-1-1 0,1 0 0,-1 1 0,1-1 0,-1 0 0,1 1 0,-1 0 1,1-1-1,-1 1 0,1 0 0,0 0 0,0 0 0,-1 0 0,1 0 0,0 0 0,0 0 0,0 0 0,0 1 1,-2 1-1,1 1-6,0-1 1,0 1 0,0 0 0,0 0 0,1-1 0,0 1-1,-2 7 1,2-7-49,0 1-1,1 0 0,-1 0 1,1 0-1,0 0 1,0 0-1,1 0 0,0 0 1,0 0-1,0 0 0,3 8 1,-2-10-10,-1-1 0,1 0 1,-1 1-1,1-1 1,0 0-1,0 0 0,0-1 1,0 1-1,0 0 0,0 0 1,0-1-1,1 0 1,-1 1-1,0-1 0,1 0 1,-1 0-1,1 0 0,0 0 1,-1-1-1,1 1 1,0-1-1,-1 1 0,4-1 1,10 1-313,0-1 0,0 0 1,24-5-1,16-9-5445,-35 6-4478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4:22.0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41 314 3896,'0'0'16460,"82"-21"-16260,-52 17-120,6 2-80,3 0-152,16 2-1344,-5 0-1369,-10 0-5033</inkml:trace>
  <inkml:trace contextRef="#ctx0" brushRef="#br0" timeOffset="-1675.94">90 33 10442,'0'0'6993,"-2"28"-6937,9-16-56,-1-1-72,1 3-776,-1 6-696,0-4-585,-1-1-2168</inkml:trace>
  <inkml:trace contextRef="#ctx0" brushRef="#br0" timeOffset="-1134.63">0 25 6025,'0'0'12827,"37"-22"-12747,-22 20-64,4 2-8,5 0 8,4 0-16,2 0-561,8 0-759,-8 0-1264,-6 0-2866</inkml:trace>
  <inkml:trace contextRef="#ctx0" brushRef="#br0" timeOffset="-554.1">67 175 9818,'0'0'6129,"-7"0"-6185,12 0-544,5 0 600,5 0 280,5 0 216,1 0-208,5-2-136,0-1-152,1 1-184,3 0-1128,-6 0-1225,-7 2-1984</inkml:trace>
  <inkml:trace contextRef="#ctx0" brushRef="#br0" timeOffset="9213.62">376 147 12738,'0'0'4630,"2"4"-4572,0 0-39,0-1 0,0 0 0,0 0 0,1 0 0,-1 0 0,1-1 0,0 1 0,0-1 0,0 1 0,5 2-1,-7-4-70,0 0 0,1-1-1,-1 1 1,1 0-1,-1-1 1,1 1-1,0-1 1,-1 1-1,1-1 1,0 0-1,-1 0 1,1 0-1,0 0 1,-1 0-1,1 0 1,0 0-1,-1-1 1,1 1-1,-1 0 1,1-1-1,0 1 1,-1-1-1,1 0 1,-1 0-1,1 1 1,-1-1-1,0 0 1,1 0-1,-1 0 1,0-1-1,2-1 1,-1 1 77,-1 0 0,0-1 0,0 1 1,0 0-1,0 0 0,-1-1 0,1 1 0,-1-1 1,1 1-1,-1-4 0,0 1 620,0 22-599,0-11-44,1-1 0,0 0 0,0 0 0,0 0 0,1-1 0,0 1 1,0 0-1,0-1 0,0 1 0,1-1 0,-1 1 0,1-1 0,6 7 0,-2-3 2,-1 1 0,-1 0-1,1 0 1,6 17 0,-10-21-17,4 12-59,0-1 0,1 0-1,1-1 1,10 16-1,-19-45 3070,13-27-2413,-9 36-804,-1 1 0,1-1 0,1 0 0,-1 1 0,0 0 0,1 0 0,0 0 0,0 0 0,0 0 0,0 1 0,1 0 0,-1 0 0,1 0 0,0 1 0,0-1 0,0 1 0,0 0 0,0 0 0,1 1 0,-1 0 0,9-1 1,16-2-4949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7:27.9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32 7801,'0'0'15612,"-4"-3"-15404,4 12-200,0 4-8,0 2 0,0 7 0,0 2-833,4 4-711,6 0-520,4 3-33,-3-6-767,3-4-3426</inkml:trace>
  <inkml:trace contextRef="#ctx0" brushRef="#br0" timeOffset="920.43">126 38 6329,'0'0'8587,"0"-7"-7064,2 43-1368,13 67 0,-7-53-385,-6-37-219,0 1 0,1-1 0,0 1-1,1-1 1,1 0 0,0 0 0,1-1 0,9 16 0,-15-28 427,0 1 0,0-1 0,0 0 0,0 0 0,0 1 0,1-1 0,-1 0 0,0 0 0,0 1 0,0-1 0,1 0 0,-1 0 0,0 1 0,0-1 0,1 0 0,-1 0 0,0 0 0,0 0 0,1 1 0,-1-1 0,0 0 0,1 0 0,-1 0 0,0 0 0,1 0 0,-1 0 0,0 0 0,0 0 0,1 0 0,-1 0 0,0 0 0,1 0 0,-1 0 0,1 0 0,3-11 6,-3-22 720,-1 29-652,-7-79 3067,7 82-3101,0 1-1,1-1 1,-1 1 0,0-1 0,1 1 0,-1 0 0,1-1-1,-1 1 1,1 0 0,-1-1 0,1 1 0,-1 0 0,1-1 0,-1 1-1,1 0 1,0 0 0,-1 0 0,1 0 0,-1-1 0,1 1 0,0 0-1,-1 0 1,1 0 0,-1 0 0,2 1 0,21-2 117,-19 2-97,0-1-54,-1 0 0,1 1 0,0 0 0,-1 0 0,1 0 0,-1 0 0,1 1 0,-1 0 0,0-1 0,0 1 1,1 0-1,-1 0 0,0 1 0,-1-1 0,1 1 0,0-1 0,-1 1 0,1 0 0,-1 0 0,0 0 0,2 5 0,0-2-122,0 0 0,-1 1 0,0 0 0,-1-1 0,0 1 1,0 0-1,0 1 0,0-1 0,-1 0 0,0 8 0,-1-14 150,-1 0 0,1 0 0,0 0 0,-1 0 0,1 1 0,-1-1 0,1 0 0,-1 0 0,0 0 0,1 0 0,-1-1 0,0 1 0,0 0 0,1 0 0,-1 0 0,0 0 0,0-1 0,0 1 0,0 0 0,0-1 0,0 1 0,0-1 0,0 1 0,0-1 0,-1 0 1,1 1-1,0-1 0,0 0 0,0 0 0,0 0 0,-1 0 0,1 0 0,0 0 0,0 0 0,0 0 0,0 0 0,-1-1 0,0 1 0,-2-1 54,1 1 0,-1-1 0,0 1 0,1-1-1,-1 0 1,1-1 0,-1 1 0,1 0 0,-1-1 0,1 0 0,-6-4 0,7 4-164,1 1-85,-1-1-1,1 1 1,0 0 0,-1-1-1,1 1 1,0-1 0,0 1-1,0-1 1,0 1-1,0-1 1,1 0 0,-1 0-1,0-3 1</inkml:trace>
  <inkml:trace contextRef="#ctx0" brushRef="#br0" timeOffset="1604.52">524 384 4881,'0'0'12047,"-8"-19"-10861,-14-34 234,-29-51 1,43 89-1239,1 0 0,0 0 0,1-1 0,0 0 0,2 0 0,-1 0 0,2-1 0,1 1 0,0-1 0,0-21 0,2 37-180,1 1 0,-1-1 0,0 0-1,1 1 1,-1-1 0,1 1 0,-1-1 0,1 1-1,-1-1 1,1 1 0,-1-1 0,1 1-1,-1-1 1,1 1 0,0-1 0,-1 1 0,1 0-1,0 0 1,-1-1 0,1 1 0,0 0-1,0 0 1,-1 0 0,1 0 0,0 0 0,-1 0-1,1 0 1,0 0 0,0 0 0,0 0-1,29 1-212,-27-1 107,3 1-137,-1-1 0,0 2-1,0-1 1,0 1 0,0-1-1,-1 2 1,1-1 0,0 0-1,-1 1 1,0 0 0,7 5-1,43 44-4400,-40-37 1874,15 16-7495</inkml:trace>
  <inkml:trace contextRef="#ctx0" brushRef="#br0" timeOffset="1843.88">349 270 1824,'0'0'18140,"60"-22"-17108,-43 19-624,4 0-248,7 3-160,3 0-512,22 0-1376,-5 0-2561,-2 0-6978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7:33.0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13338,'0'0'4929,"56"13"-4777,-4-13-40,11 0-32,10 0-72,28 6 8,-6-6-16,-1 6-1144,21-6-976,-42 0-1921,-3 0-4993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8:05.8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266 4 9418,'0'0'11749,"0"-3"-10808,-1 53-1275,2 58 554,8-55-3381,-7-44 1204,1-1 1,0 1-1,8 14 0,-4-11-8137</inkml:trace>
  <inkml:trace contextRef="#ctx0" brushRef="#br0" timeOffset="636.15">409 134 10282,'0'0'8825,"0"25"-7339,-1-11-1411,1-6-71,-1 0 0,1 1 0,2 14 0,-2-22-42,0 1 0,0-1 0,0 0 0,1 0 0,-1 0 0,0 1 0,1-1 0,-1 0 0,1 0 0,-1 0 0,1 0 0,0 0 0,-1 0 0,1 0 0,0 0 0,0 0 0,0 0 0,0 0 0,0-1 0,0 1 0,0 0 0,0-1 0,0 1 0,0 0 0,0-1 0,0 1 0,0-1 0,0 0-1,1 1 1,-1-1 0,0 0 0,3 0 0,-4-27 150,-2-25-62,1 31-1,0 1 1,2-1-1,3-25 0,-4 45-47,0 0-1,1 0 1,-1 0 0,0 1 0,1-1-1,-1 0 1,1 0 0,-1 0-1,1 1 1,-1-1 0,1 0 0,0 1-1,-1-1 1,1 0 0,0 1 0,0-1-1,-1 1 1,1-1 0,0 1-1,0-1 1,0 1 0,0 0 0,-1-1-1,1 1 1,0 0 0,0 0-1,0 0 1,0 0 0,0 0 0,0 0-1,0 0 1,0 0 0,0 0 0,0 0-1,0 0 1,-1 0 0,1 1-1,0-1 1,0 0 0,0 1 0,0-1-1,0 1 1,35 17 68,-27-12-159,-1 0-1,0 0 1,-1 1-1,0 0 1,0 0 0,0 1-1,-1 0 1,0 0 0,0 0-1,-1 1 1,0 0-1,-1 0 1,0 0 0,0 0-1,2 14 1,-4-20-246,-1 0 1,1 1-1,0-1 0,0 0 1,0 0-1,1 0 1,-1 0-1,1 0 0,-1-1 1,1 1-1,0-1 1,0 1-1,6 2 0,7 5-3880</inkml:trace>
  <inkml:trace contextRef="#ctx0" brushRef="#br0" timeOffset="4851.83">692 78 11666,'0'0'6473,"-119"59"-5376,56-13-681,-27 29-272,-25 27-144,-8 18-1169,15-18-1303,35-28-3529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8:07.9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0 275 4216,'0'0'11504,"0"-4"-10216,0-10 71,1 22 311,5 46-435,-2-44-1824,0 1 0,0-1 0,1 0 0,8 12 0,17 12-6933,-20-26 2326</inkml:trace>
  <inkml:trace contextRef="#ctx0" brushRef="#br0" timeOffset="578.41">129 303 1384,'0'0'14850,"4"23"-13520,-2-13-1347,0 1 1,1-1-1,1 0 0,-1 0 0,2 0 0,-1 0 0,1-1 1,1 0-1,0 0 0,12 15 0,-18-24 12,0 0 0,1 0 0,-1 0 0,0 1 0,0-1 0,0 0 0,1 0 0,-1 0 0,0 0 0,0 0 0,0 0 0,1 0 0,-1 0 0,0 0 0,0 0 0,1 0 0,-1 0 0,0 0 0,0 0 0,1 0 0,-1 0 0,0 0 0,0 0 0,0 0 0,1 0 0,-1 0 0,0 0 0,0 0 0,0 0 0,1-1 0,-1 1 0,0 0 0,0 0 0,0 0 0,1 0 0,-1 0 0,0-1 0,0 1 0,0 0 0,0 0 0,0 0 0,0-1 0,1 1 0,-1 0 0,0 0 0,0 0 0,0-1 0,0 1 0,0 0 0,0 0 0,0-1 0,0 1 0,0 0 0,0 0 0,0-1 0,0 1 0,0 0 0,0 0 0,0 0 0,0-1 0,3-30 261,-3 16 1,0 0 0,-4-26 1,3 39-241,-2-7 91,1 0 0,0 0-1,1-1 1,0 1-1,0-1 1,1 1-1,1-20 1,0 28-60,0 0-1,0-1 1,0 1 0,0 0-1,0 0 1,1 0 0,-1-1-1,0 1 1,0 0 0,1 1 0,-1-1-1,1 0 1,-1 0 0,1 1-1,-1-1 1,1 0 0,-1 1-1,1 0 1,-1-1 0,1 1-1,0 0 1,3 0 0,-2-1-33,0 1 0,0 0 0,0 0 0,0 0 1,0 0-1,0 1 0,0-1 0,0 1 0,1 0 0,-1-1 0,3 3 1,-1 0-62,-1 0 0,0 1 0,0 0 1,0-1-1,-1 1 0,1 0 0,-1 1 0,0-1 1,0 1-1,-1-1 0,1 1 0,2 7 1,0 4-196,0 1 1,3 26 0,-5-28-1233,0 1 0,1-1 0,6 16 0,-6-20-2497</inkml:trace>
  <inkml:trace contextRef="#ctx0" brushRef="#br0" timeOffset="1082.29">454 133 6281,'0'0'14054,"8"-5"-13684,-8 4-368,5-2 15,0 0 0,-1 0 1,1 0-1,0 0 0,1 1 0,-1 0 0,0 0 1,1 0-1,-1 1 0,1 0 0,-1 0 0,12-1 1,-16 3-18,0-1-1,0 1 1,-1-1 0,1 1 0,0-1 0,0 1 0,-1 0 0,1-1-1,-1 1 1,1 0 0,0-1 0,-1 1 0,1 0 0,-1 0 0,0 0 0,1-1-1,-1 1 1,0 0 0,1 0 0,-1 0 0,0 0 0,0 0 0,0 0-1,0 0 1,0 0 0,0 0 0,0-1 0,0 1 0,0 2 0,-2 32-2,2-33 2,-10 35 40,8-32-25,0 0-1,1 1 1,-1-1 0,1 1 0,0-1-1,0 9 1,3-13 13,0 0 0,0-1 0,0 1-1,1 0 1,-1-1 0,0 0 0,1 1 0,-1-1 0,0 0 0,0 0 0,1 0-1,3-1 1,0 1 123,71 0 304,-26 0-4231,-40 0-530</inkml:trace>
  <inkml:trace contextRef="#ctx0" brushRef="#br0" timeOffset="3459.08">747 0 7257,'0'0'13939,"-24"31"-13355,-4 0-336,-11 12-248,-13 22-96,3-12-1392,11-7-3409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8T19:09:23.454"/>
    </inkml:context>
    <inkml:brush xml:id="br0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47726 54745,'0'0,"0"3,0 11,0 3,0 6,4-8,2 11,-2-5,6-1,-2-7,2-1,2-2,0-10,2 0,0 0,-3-13,1-1,-4-7,-4 3,-4 1,0 3,0 3,0 9,0-3,0 10,8 3,5 2,5 1,2 2,4-6,6-1,-7-4,-1-2,-5 0,-3 0,-8-2,0-11,-4-4,-2-4,0 2,0-2,-2 1,-6-5,0 6,0-3,0 1,6 7</inkml:trace>
  <inkml:trace contextRef="#ctx0" brushRef="#br0">53480 54688,'0'0,"-10"-14,10 20,0 6,0 10,2 0,-2 2,6 3,-4-4,4-6,0-1,4-8,-4-3,2-5,-2 0,0-5,-4-12,-2-2,0 0,0-2,0 2,0 8,0 2,-2-1,2 12,2 9,6 3,7 0,1 4,-2-1,1-6,5 1,-8-3,-2-7,0-2,2 0,0-9,-2-5,-8-3,2-4,-4 2,0-1,0 0,-4 4,2 4,-4 4,2 2,0 6,0 0,0 0</inkml:trace>
  <inkml:trace contextRef="#ctx0" brushRef="#br0">53163 54756,'0'0,"4"0,5 0,-3 0,8 0,3 0,-3 0,0 0,6 4,-1-2,-9 3</inkml:trace>
  <inkml:trace contextRef="#ctx0" brushRef="#br0">47865 56056,'0'0,"-2"0,4 0,9 0,-1-2,0 0,2 2,0 0,-2 0,4 0,2 0,11 0,-1 0,-7 0</inkml:trace>
  <inkml:trace contextRef="#ctx0" brushRef="#br0">48445 56938,'0'0,"6"19,-6-18,0-1,0 2,-2 2,-2-2,-4 2,3 3,-3 0,2 4,-1-2,1-3,4-1,2-3,0-9,8-6,1 0,-1 0,3 0,-3-1,2-2,-2 7,-2 0,-1 3,-1 3,-2 3,0 0,-2 0,2 0,2 1,0 5,0-1,4 3,-4-1,6 3,2-4,-4 3,5-4,4 3,-3-4,9 3,-9 0,0-1</inkml:trace>
  <inkml:trace contextRef="#ctx0" brushRef="#br0">48500 56970,'0'0,"-18"44,9-21,-3-8,2 11,-2-11,10-1,2-2,0 1,10-4,6-4,3 0,7 2,-4 1,-3 2,0-1,-11 5,-4 4,-4 5,-4-1,-9 1,3 2,4-5,3 0,3-2,5-4,9 0,3-3,6 2,-5 2,0-2,0 2,-6-1,-4 3,-2-1,-4 0,0-2,0 0,2 0,-1 3,3-7</inkml:trace>
  <inkml:trace contextRef="#ctx0" brushRef="#br0">50579 57854,'0'0,"-8"28,10-12,6 5,0-4,4 0,0-2,2 1,-1-6,-1 2,2-8,-8-1,0-3,-4 0,2-7,0-5,-2-4,-2-2,0 0,0-1,0 7,-4 5,0-1,2 8,0 0,0 0,2 8,0-1,4 1,6 3,2 3,6-5,-2 5,0-7,0-1,1-2,-5 1,2-5,-6 0,-2-5,-4-3,-2-1,0-5,0-3,-6-8,-2 8,-2-6,2 8,2 2,-1 4,1 2,2 5,0 2,2 0,0 0,4 4,4 7,0-5</inkml:trace>
  <inkml:trace contextRef="#ctx0" brushRef="#br0">50934 57841,'0'0,"4"30,-4-7,0-6,0 8,4-8,-2-3,2-3,2-5,5-1,-1-5,11 0,-5-7,3 3,-3-4,-2 6,0 1,-5 1,-1 0</inkml:trace>
  <inkml:trace contextRef="#ctx0" brushRef="#br0">48866 57928,'0'0,"-6"-5,6 10,2 5,0 2,4 5,-1 0,7 5,-8-3,6 1,-2-3,0-3,-6 0,6-5,-6-5,2 4,-4-18,-4-1,0-3,-4-4,2 1,0-5,2 6,0-1,-2-1,2 7,4-2,0 5,0 0,0 3,0 3,0 6,4 7,6 1,-2 7,2-6,2 4,0-3,0 0,0-5,-5 0,2-5,-1-2,-5-2,1 0,-4-2,0-6,0-6,-4 2,-1-4,-1-5,-1 0,0 2,7-2,-2 6,-2 5,4 4,0 0,0 6,6 8,4 4,4 7,0 0,2 5,1-4,-1 6,-2-7,0 3,-2-2,6-4,-4-3,-4-4</inkml:trace>
  <inkml:trace contextRef="#ctx0" brushRef="#br0">50299 57957,'0'0,"31"-7,-20 3,3 4,0-2,4 2,3-4,-2 4</inkml:trace>
  <inkml:trace contextRef="#ctx0" brushRef="#br0">49869 57968,'0'0,"35"-5,-25 5,2 0,-8 0</inkml:trace>
  <inkml:trace contextRef="#ctx0" brushRef="#br0">49898 58034,'0'0,"45"-9,-36 9,1 0</inkml:trace>
  <inkml:trace contextRef="#ctx0" brushRef="#br0">49223 58148,'0'0,"-8"-14,8 10,0 10,0 1,2 5,4-3,-4 4,6-3,-2 1,-4-9,-2 5,6-7,-4 0,-2 0,0-9,0 0,0-3,0-1,0 2,-8-1,8 1,0 3,0 2,0-1,0 5,0 2,8 9,-4-3,4 2,-2 3,4-5,-6 2,5-3,-7 2,3-3,-1-4,-2 0,-2 0,0-7,0 0,0-2,0 4,0 3,0-3,0-1,0 6,2 0,4 0,-2 8,2-3,-2 5,5-5,-1 4,-4-1,6 1,-3-2,-1 0</inkml:trace>
  <inkml:trace contextRef="#ctx0" brushRef="#br0">49677 58143,'0'0,"-43"5,35 7,-2 1,2 3,2 2,0-7,6 2,0-1,0-4</inkml:trace>
  <inkml:trace contextRef="#ctx0" brushRef="#br0">49454 58179,'0'0,"4"-12,-4 12,0-3,-4-3,0 6,-2 0,1 0,1 0,-2 0,4 4,0 1,0 1,2-4,0 5,0-4,0 1,4-4,0 0,2 0,-1 0,1 0,-4-2,-2 0,6-1,-4 3,-2 0,2 0,0 0,2 0,-4 0,7 3,-5 1,4-2,1 5,-3-7,2 9,-2-7,0 4,2-6,1 3</inkml:trace>
  <inkml:trace contextRef="#ctx0" brushRef="#br0">49562 58179,'0'0,"17"6,-9-2,-6 5,5-7,3 5,-2 1,0-6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2:33:54.988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E71225"/>
      <inkml:brushProperty name="ignorePressure" value="1"/>
    </inkml:brush>
  </inkml:definitions>
  <inkml:trace contextRef="#ctx0" brushRef="#br0">6958 67037,'0'0,"-4"0,0 0,-2 0,0 6,-2-2,2 5,0 5,0 0,-2 7,4-2,4 8,0-1,0-5,4 1,14-6,2-8,2-2,-2-6,4 0,-8-2,-2-8,-4-4,0-3,-4-6,-6 0,0 2,-8 3,-2-3,-4 5,6 3,-2 5,-2 2,4 1,4-1,-2 6,4-4,-3 2,5-2,-4 4,2 0,2 0,0-2,-2-2,2 2,0-2,-3 2,1 0,-2 1,2-3,-2 4,10 0,5 0,2 0,3 0,0 0,6 0,8-2,-8 0,-6 0</inkml:trace>
  <inkml:trace contextRef="#ctx0" brushRef="#br0">7177 67279,'0'0,"25"23,-17-11,0-1,2 5,-4-5,0 1,0-4,-4 0,4-8,-4 0,6 0,-8-4,6-8,-4-2,-2 5,0-7,0 1,0 5,0-2,0 8,0-1</inkml:trace>
  <inkml:trace contextRef="#ctx0" brushRef="#br0">7379 67253,'0'0,"-2"64,8-48,0 1,-4 1,6-6,-6-5,4 1,-6-6,6-2,-6 0,3-6,-3-5,0-5,0 2,0-1,0-1,0 5,0-3,0 4,0-1,0 5,0 2,0 0,0 8,6 12,-4-5,2 3,0-1,0 1,0-2,0-5,2-1,0-6,-4 0,4 0,-6-9,4-3,-2 0,2-1,-2-3,2 1,4 3,-4 4,0 4,-2-1,2 5,-2 0,6 5,-8 3,4 0,0 4,0-1,0 3,4-5,6 5,5 2,1-5,-2-1</inkml:trace>
  <inkml:trace contextRef="#ctx0" brushRef="#br0">7855 67031,'0'0,"57"-4,-35 4,-6 0,-3 0</inkml:trace>
  <inkml:trace contextRef="#ctx0" brushRef="#br0">7884 67138,'0'0,"56"0,-41 0,7 0,-6 0,2 0</inkml:trace>
  <inkml:trace contextRef="#ctx0" brushRef="#br0">8829 67033,'0'0,"-32"49,30-30,2 2,0-3,4-1,6-1,-2-10,6-1,2-3,-4-2,2-2,0-7,-2-3,-2-5,-6 1,0 3,-4-3,0 4,-4 3,-4 1,0 2,-2 0,0 2,2 2,2-1,0-1,-2 2,6-6,0 2,-2 0,4 4,0 0,0 1,-2 1,-2 0,2 0,8 1,0 1,4-2,0 2,10-2,-2 0,8 0,-4 0,0 0</inkml:trace>
  <inkml:trace contextRef="#ctx0" brushRef="#br0">9029 67215,'0'0,"12"50,-6-40,-4-1,2-5,-4 2,2-6,0 0,-2 0,2 0,-2-2,0-4,0-1,0 1,-2 0,0 0,0-4,2 1,0-1,0 2,0 1,0 5,0-4,4 6,2 0,2 0,-6 8,6-1,-2 1,4 0</inkml:trace>
  <inkml:trace contextRef="#ctx0" brushRef="#br0">9125 67224,'0'0,"0"-17,4 21,0 2,3 1,-1 1,0 0,4 3,3 1,-3-4</inkml:trace>
  <inkml:trace contextRef="#ctx0" brushRef="#br0">9279 67228,'0'0,"-24"0,16 4,6-2,2 4,-4 0,4-1,0-1,0 4,4-2,2-4,0-2,2 0,0 0,-6-2,6-6,-2 2,-4-1,4 5,-6-2,0 2,0 6,6 0,-2-1,0 1,6 2,2-2,1 2,-1-4</inkml:trace>
  <inkml:trace contextRef="#ctx0" brushRef="#br0">9393 67259,'0'0,"56"12,-32-4,-8-1,2-7</inkml:trace>
  <inkml:trace contextRef="#ctx0" brushRef="#br0">9497 67228,'0'0,"-56"45,44-30,6-1,0-6</inkml:trace>
  <inkml:trace contextRef="#ctx0" brushRef="#br0">9554 66917,'0'0,"16"-12,-4 12,0-4,-4 4,-1 0,-1 0,-4 0,0 8,-2 0,0-1,-2 5,-4 0,1-1,-3-1,2-2,0 2,0-5,2-1,-2-2,6 2,6-4,6 0,2 0,1-4,-1 4,-2 0,4 0,-6 0,0 0</inkml:trace>
  <inkml:trace contextRef="#ctx0" brushRef="#br0">10079 67099,'0'0,"4"58,0-40,-2-1,0-2,6 0,-2-5,-2-2</inkml:trace>
  <inkml:trace contextRef="#ctx0" brushRef="#br0">10032 67192,'0'0,"65"-2,-39 2,-5 2,-1 0</inkml:trace>
  <inkml:trace contextRef="#ctx0" brushRef="#br0">10674 67014,'0'0,"-12"-6,12 4,0-2,0 0,4 2,6-2,2-1,0 5,4 0,-2 0,4 0,-10 7,4 1,-6 0,-6 2,0-5,-8 7,-4-2,-4-3,4-1,-1 0,0-2,3-2,2-2,4 0,8 0,12 0,-3 0,6 6,1 0,2 5,-8 5,2-1,-4 3,-4-5,-4 5,-4-7,0 6,-8-9,0 1,-4-5,0 0,2 0,-4-4,2 0,0 0,4-8,0 8,2-7,3 7,3-8,0 4,0 2</inkml:trace>
  <inkml:trace contextRef="#ctx0" brushRef="#br0">10978 67033,'0'0,"62"-6,-28 2,-2 2,-5 1</inkml:trace>
  <inkml:trace contextRef="#ctx0" brushRef="#br0">11066 67060,'0'0,"0"10,-4-2,0 1,-2 5,6 2,-2-3,2 3,0-1,0 1,8-1,0-2,0-3,4-3,-4-5,6 0,1-2,1-4,-3-1,-3-3</inkml:trace>
  <inkml:trace contextRef="#ctx0" brushRef="#br0">11274 67209,'0'0,"4"31,0-23,-2-1,4 1,-6-2,6 0,-4-2,0-4,0 7,2-7,-4-2,0-3,0-5,0 2,0-3,0 1,0 2,0 2,0 0,0 3,0 3,0 0,7 0,-7 0,2 9,4-3,-4 2,2 2,0 1,2-5,-4 0,0 0,2-6,-2 0,0 0,0 0,2 0,2-12,-4 0,1-1,1-1,-2 3,2 3,0 2,0 1,-2 5,2 3,0 1,2 6,-4-1,8-1,-8 0,6 0,-4-1,6 9,-4-8,2-1</inkml:trace>
  <inkml:trace contextRef="#ctx0" brushRef="#br0">11525 67238,'0'0,"-27"-6,19 6,2 0,0 2,2 4,-2-2,4 2,2-1,0 3,0-2,0-2,8 2,0-1,6-3,-8-2,7 0,-7 0,0 0,-2 0,0-7,-4 7,0-6,0 4,0 0,0 0,2 2,0 0,4 0,-4 2,4 2,4 2,0 1,-2-5,1 4,3 2,0-8,8 0,-10 0,-2 0</inkml:trace>
  <inkml:trace contextRef="#ctx0" brushRef="#br0">11682 67267,'0'0,"57"12,-47-7,2-1,-2 2,0 2,4-2,-10-4</inkml:trace>
  <inkml:trace contextRef="#ctx0" brushRef="#br0">11723 67248,'0'0,"-41"54,35-42</inkml:trace>
  <inkml:trace contextRef="#ctx0" brushRef="#br0">11727 66905</inkml:trace>
  <inkml:trace contextRef="#ctx0" brushRef="#br0">11727 66905,'28'-12,"-28"8,0 1,6-1,2 0,-2 0,0 2,6 2,-8 0,3 0,-1 0,-4 0,0 2,-2 2,0 6,-4-1,-5 1,3-2,-2 1,2 1,4-6,-2 2,4-2,0 0,0-4,10 0,-2 0,5 0,1 0,-2 0,4 0,-6 0,-2 0,0 5,-2-3</inkml:trace>
  <inkml:trace contextRef="#ctx0" brushRef="#br0">8423 67302,'0'0,"-6"4,6-4,8 0,-6-6,4-2,2-5,-2 1,0-4,0-3,-4 2,2-6,4 10,-8 3,0 4,0 12,0 9,0 4,0-2,2 3,2-5,-2 7,6-9,-2-1,0 0,4-5,-3-3,5-4,-4 0,5 0,-5-8,-2-3,0-7,0-5,-2-16,0-18,-2-19,0 4,4 14,0 21,-6 20,6 1,-4 3,-2-1,0 8,2-1,0 3,2-8,-2 2,-2-1</inkml:trace>
  <inkml:trace contextRef="#ctx0" brushRef="#br0">8645 66774,'3526'0</inkml:trace>
  <inkml:trace contextRef="#ctx0" brushRef="#br0">6918 65401,'0'0,"-10"-4,4 4,0 0,0 2,0 9,-2 5,2-1,4 3,2 5,0-3,2 1,10-4,4-5,6-4,-2-4,2-4,-2 0,0-12,-4-1,-2-7,-2 1,-10 1,0-3,-2 3,0 3,-8 5,-4-3,0 7,-2 4,2-2,2 4,-4 0,6-4,0 4,2-2,2 0,0-2,4 2,-2-2,2 3,0 1,0-2,2 2,10 0,2 0,1 0,2 0,1 0,2-4,6 0,-2 0,-2 2</inkml:trace>
  <inkml:trace contextRef="#ctx0" brushRef="#br0">7108 65581,'0'0,"50"33,-39-19,1-6,-4 2,-2-2,-3-4,3-2,-4-2,0 0,0-2,2-10,-4 0,0-2,0 0,0 3,0 3,0 2,0 4</inkml:trace>
  <inkml:trace contextRef="#ctx0" brushRef="#br0">7314 65612,'0'0,"12"44,-12-36,6-2,-4-5,0 5,0-6,0 0,0-2,-2-9,0 3,0-2,0-2,0 4,0 2,0 0,2 0,2 6,-4-5,2 3,4 2,-4 0,5 0,-3 0,0 5,2 3,-2 0,0 2,0-1,0-4,0-3,-2-2,4-9,-2-4,-4 1,4 1,-3 1,1 0,-2 6,4 4,-2 0,2 0,0 0,2 4,-2 6,6-4,-4 7,0-5,0 2,2-1,6 0,-8-3,2-2</inkml:trace>
  <inkml:trace contextRef="#ctx0" brushRef="#br0">7759 65407,'0'0,"72"-2</inkml:trace>
  <inkml:trace contextRef="#ctx0" brushRef="#br0">7771 65500,'0'0,"4"0,-4 0,2 0,4 0,0 0,-4 0,10 0,-2 0,2 0,4 0,-2 0,-3 0</inkml:trace>
  <inkml:trace contextRef="#ctx0" brushRef="#br0">8777 65374,'0'0,"-2"-8,0 8,-2 4,2 1,-6 9,2 0,2 5,-2 2,3 3,3-3,0-2,0 3,9-9,5-7,0 2,2-8,2 0,-4-8,4 0,-6-5,-2-7,-2 7,-2-5,-6 3,0-1,0 1,-6 5,-2-3,-2 3,-2 2,0-2,-2 6,4 1,4 3,-2-2,4 2,-2 0,4 0,2 0,-4 0,2 0,0 0,-2 0,10 0,2 0,6-4,2 4,6-2,0-4,0 4,2-4,0 4,-7 0,-6 2,-7 0</inkml:trace>
  <inkml:trace contextRef="#ctx0" brushRef="#br0">8965 65562,'0'0,"80"41,-64-34,-6-1,0 0,-4 2,2-4,-4 1</inkml:trace>
  <inkml:trace contextRef="#ctx0" brushRef="#br0">9071 65552,'0'0,"-52"39,40-27,4-1,0 5,8 0,-2-8</inkml:trace>
  <inkml:trace contextRef="#ctx0" brushRef="#br0">9277 65275,'0'0,"0"-2,4-2,6 2,0 0,0 2,-2 0,2 0,-1 0,1 4,-6 5,-4 1,0 6,0-5,-4 5,-6-3,1 3,1-6,6-6,-6 3,8-7,0 0,8 0,2-2,3 2,-3 0,6 0,0 0,7 0,-5 0,-2 0</inkml:trace>
  <inkml:trace contextRef="#ctx0" brushRef="#br0">9687 65463,'0'0,"16"0,-4 0,9 0,3 0,-6 0</inkml:trace>
  <inkml:trace contextRef="#ctx0" brushRef="#br0">10095 65385,'0'0,"-61"53,61-40,0 5,0-3,6-1,7 3,5-3,2-4,0-5,3-1,-5-4,0 0,0-4,-6-11,-2-1,-6-3,-4 3,0-3,0 1,-4 7,-6 1,0 4,-4 2,4-1,-4 5,6-4,-2 2,4 0,-3 2,3-4,2 0,0 2,2 0,-2-2,2 2,0-2,2 3,0 1,0-2,0 0,4 2,2 0,8 0,-3 0,3 0,2 0,0 0,8 0,-2 0,4 0,-7 0,-5 0</inkml:trace>
  <inkml:trace contextRef="#ctx0" brushRef="#br0">10360 65550,'0'0,"64"55,-52-46</inkml:trace>
  <inkml:trace contextRef="#ctx0" brushRef="#br0">10446 65560,'0'0,"-62"54,60-40</inkml:trace>
  <inkml:trace contextRef="#ctx0" brushRef="#br0">10650 65430,'0'0,"-54"17,48-13,0 8,4-1,-2 1,4 2,0 1,8-1,6-3,6-7,2 2,0-6,0 0,-4 0,0-6,-6-5,-4-1,-4 4,2-3,-6 7,0-8,0 8,-6-7,-2 3,-2 0,2 2,-5-2,4 5,-1-1,0 2,4 0,0 0,4 2,0-2,0 2,2-4,0 2,-4 2,2-6,2 4,0 0,-4 2,4-3,0 1,4 2,4 0,2 0,2 0,2 0,-1 0,4 0,1 0,2 0,-6-4</inkml:trace>
  <inkml:trace contextRef="#ctx0" brushRef="#br0">10888 65544,'0'0,"-4"47,12-41,8-4,-3-2,-4 0,5 0,-6 0,0 0,0-6,-2-8,-4 5,-2-1,0-2,0 8,0 2,0 4,0 6,8 4,0-3,0 7,2-6,4 5,-6 1,2 2,0-2,-6 3,0-3,-4-3,0-1,0-4,0-4,0-1,-4-3,0 0,-4-3,6-5,-4 0,6 0,0 2,0 1,6 1,6-2,8-2,2 2,23-1,-10-1,-5 2</inkml:trace>
  <inkml:trace contextRef="#ctx0" brushRef="#br0">11392 65397,'0'0,"8"10,-6 3,4-3,-2 7,0 1,2-1,4-3,-6 1,2-5</inkml:trace>
  <inkml:trace contextRef="#ctx0" brushRef="#br0">11335 65467,'0'0,"89"-18,-65 18,-6 0</inkml:trace>
  <inkml:trace contextRef="#ctx0" brushRef="#br0">11905 65405,'0'0,"-13"-8,5 8,-2 10,0 5,0 1,4 5,6 2,0-1,0-5,14 2,4-5,3-4,-1-4,4-6,-2 0,-4-6,-4-8,0-1,-5-7,-5 1,0 3,-4-5,0 8,-4 5,-5-2,-3 8,-4 1,2 3,2-2,0-2,-2 4,4-4,2 4,2-4,-2 4,4 0,-1 0,1 0,4 0,0 0,6-2,1 0,1 0,-2 0,8 0,-2 0,6 0,-4 2,4 0,0 0,-5 0,9 0,-8 0,-2 0</inkml:trace>
  <inkml:trace contextRef="#ctx0" brushRef="#br0">12109 65537,'0'0,"0"-2,0 11,4 1,4 4,0-1,0-1,4 0,-2-3,-2-1,4-2,-2-4,-2-2,-4 0,0 0,-4-2,4-10,-4 1,0 1,0 0,0 0,-6 5,4-1,0 6,0 0,2 6,8 5,-2 1,8 0,-6 5,1 2,1 0,-4 0,0 3,2-3,0-2,-8 1,4-4,-4-9,0 1,0 0,0-14,0-1,0-11,0 3,4-1,5-3,-3 5,2 1,2 7,0 0,8-4,-2 6,-2 0</inkml:trace>
  <inkml:trace contextRef="#ctx0" brushRef="#br0">12379 65300,'0'0,"36"-8,-26 8,0 4,-6 4,0-1,-4 1,0 4,0-1,-4 1,-2-4,-2 0,4-4,0-1,2-1,10-2,2-2,0 0,2 2,1 0,-1 0,3 0,-1 0,-4 0</inkml:trace>
  <inkml:trace contextRef="#ctx0" brushRef="#br0">12841 65473,'0'0,"0"13,0-1,0-4,0 5,4 1,-2-3,0 3,2-2,0-3,0 3,0-8,-2 0</inkml:trace>
  <inkml:trace contextRef="#ctx0" brushRef="#br0">12817 65529,'0'0</inkml:trace>
  <inkml:trace contextRef="#ctx0" brushRef="#br0">12827 65544,'0'0,"-6"0,2 0,4 2,6-2,-4 0,4 0,-4 0,6 0,-2-2,4-2,0 4,0-3,-2 1,6 0,-6 2,8 0,-2-2,-4 2</inkml:trace>
  <inkml:trace contextRef="#ctx0" brushRef="#br0">13253 65366,'0'0,"4"-25,4 19,6 4,1-4,3 6,-4 0,1 0,5 0,-6 0,-2 6,-6 2,0 1,-6 1,0 0,-6-3,-2 1,-6-4,4 2,-2-6,0 0,5 0,3 0,2 0,6 0,7 0,5 4,0 4,0 1,0 3,4-4,-4 7,-2 1,-2-1,-6 1,-2-3,-4-3,0-2,-4 0,-10-5,2-3,0 0,-4 0,8 0,-2-7,4 3,6 2,0-4,0 2,4-2,6-1,4 1,-2 2,4-2,-2 0,5 6,3-9,-4 3,2 0</inkml:trace>
  <inkml:trace contextRef="#ctx0" brushRef="#br0">13667 65381,'0'0,"53"0,-39 0,6 0,-4 0,5 0,1 0,-8 0</inkml:trace>
  <inkml:trace contextRef="#ctx0" brushRef="#br0">13779 65420,'0'0,"6"14,-6-1,0-1,0 3,-2 1,2-4,0 5,0-3,0-3,0-3,2 2,8-6,2-4,4 0,-2 0,0 0,0-6,-3 2,1 0,-10 2</inkml:trace>
  <inkml:trace contextRef="#ctx0" brushRef="#br0">13964 65556,'0'0,"57"43,-43-32,6 1,-6-4</inkml:trace>
  <inkml:trace contextRef="#ctx0" brushRef="#br0">14041 65560,'0'0,"-59"62,55-43,4-6</inkml:trace>
  <inkml:trace contextRef="#ctx0" brushRef="#br0">14130 65591,'0'0,"-10"41,18-34,-2 0,2-5,0-2,2 0,0 0,-4 0,-2 0,2-2,-4-10,0 8,2-4,-4 0,0 2,0 6,0-5,0 8,8 5,-6 4,9 8,-1-4,-2 5,0 2,0-3,0 3,-8-5,0-3,0-3,0-4,0-7,-8-1,4 0,-2-7,2-9,4-1,0-5,0 3,4 3,6 3,2 3,5 4,17-1,-4 1,-2 0</inkml:trace>
  <inkml:trace contextRef="#ctx0" brushRef="#br0">14217 65321,'0'0,"34"-10,-22 10,-5 0,-1 0,4 0,-6 4,-2 2,-2 2,0 4,0-3,-2-1,2 4,-4-10,4 3,0-3,0 0,0 2,4-4,2 0,4 0,-2 0,6 0,4 0,0 0,-4 0</inkml:trace>
  <inkml:trace contextRef="#ctx0" brushRef="#br0">8296 65703,'0'0,"4"-10,-2 2,4 0,0 2,0-1,0 1,-6 2,4-2,-2 6,-2 4,2 6,6 3,1 5,-3-5,2 3,2-2,0-1,-2-3,-2-6,6-2,-6-2,2 0,-2-12,-2-5,0-3,-2-3,-2-6,0-9,0-1,0-8,0-3,0 5,0 7,0 6,4 13,0-2,-2 5,2 3,0-5,0 1,2-2,0-2,4-8,-2 5,0 7</inkml:trace>
  <inkml:trace contextRef="#ctx0" brushRef="#br0">8511 65163,'6249'0</inkml:trace>
  <inkml:trace contextRef="#ctx0" brushRef="#br1">9970 65840,'802'-778</inkml:trace>
  <inkml:trace contextRef="#ctx0" brushRef="#br1">8703 65835,'786'-765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2:34:04.391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6516 70493,'0'0,"0"24,0-11,0 7,0 3,0-3,0 11,0-7,0-1,0-1,0-7,0-5,0-2,0-20,0-8,0 3,0-12,-4 5,2-7,2 2,0 3,0-5,0 7,0 1,0 5,0 5,0 5,0 2,2 6,4 0,2 0,0 10,0 7,6 9,5 3,-5 4,8 1,2 3,-4-8,2-8,1-3,-3-4,-2-14,2 0,-2 0,-6-18,-4-5,-4-5,-4-7,0-6,-6-6,-6-2,-4 10,0 2,0 12,6 7,-2 7,4 9,4-4</inkml:trace>
  <inkml:trace contextRef="#ctx0" brushRef="#br0">7317 70482,'0'0,"68"-4,-52 4,-4-2</inkml:trace>
  <inkml:trace contextRef="#ctx0" brushRef="#br0">7343 70524,'0'0,"56"0,-46 0,4 0</inkml:trace>
  <inkml:trace contextRef="#ctx0" brushRef="#br0">8040 70571,'1718'0</inkml:trace>
  <inkml:trace contextRef="#ctx0" brushRef="#br0">8788 70190,'0'0,"-24"2,16 8,-2 2,2 0,4 1,0 3,4 0,0 1,0 1,12-9,0-1,4-2,0-2,2-4,-1 0,-1-4,2-10,-10 5,0-1,-4-4,-4 3,0-1,0 4,0-2,-8 2,0 1,0 1,-4 0,4 0,0-2,-2 2,6 2,-5-1,1 1,8 4,-4-4,2 2,0 2,4 0,4 0,4 2,1-2,5 0,0 0,2 0,2 0,4-2,1 0,-3-2,-6 0</inkml:trace>
  <inkml:trace contextRef="#ctx0" brushRef="#br0">9022 70312,'0'0,"12"0,0 0,7 0,-5 0,-2 0</inkml:trace>
  <inkml:trace contextRef="#ctx0" brushRef="#br0">9063 70337,'0'0,"4"31,-4-23,0 0,6 0,-4-1,6-1,0-2,0-2,0-2,0 0,4 0,-2-4,-2-2,0 2,0-1,-4-1,2 0,1 2,-3-2,-4 4,4-2,-4 4,0-4,0 2,-4 2</inkml:trace>
  <inkml:trace contextRef="#ctx0" brushRef="#br0">9171 70327,'0'0,"31"6,-21-6,0 0,4 0,-6-2</inkml:trace>
  <inkml:trace contextRef="#ctx0" brushRef="#br0">9123 70452,'0'0,"0"0,0 2,0 4,0-4,0 4,0 2,6-8,-4 4,4-1,-2-3,0 0,0 0,4 0,-2 0,-4 0</inkml:trace>
  <inkml:trace contextRef="#ctx0" brushRef="#br0">9087 70511,'0'0,"36"0,-22 0,2 0,-2-2,7 2,-7 0,0 0</inkml:trace>
  <inkml:trace contextRef="#ctx0" brushRef="#br0">8522 70843,'0'0,"-20"0,12 8,4 3,-4 3,4-2,2 5,0-1,2-4,2 3,4-3,4-2,0-4,6-2,-2-4,-4 0,4-4,-3-4,-3 0,-2-7,-4 1,2-2,-4-1,0-3,-4 3,0 3,-2 2,0 4,2 6,-3-2,1 1,4 3,-4 0,6 0,-2 0,0 0,-2 0,10 0,-4 2,10-1,-1-1,5 0,-2 0,6 0,6 0,-4-3,-6 3</inkml:trace>
  <inkml:trace contextRef="#ctx0" brushRef="#br0">8694 71005,'0'0,"12"24,-6-17,0 3,-2-2,2 0,0 0,-2-3,2-3,-4-2,2 0,-2 0,4-7,-4 3,-2-4,2-4,-2 2,0-1,0 1,4 2,-4 2,0 4,2 2</inkml:trace>
  <inkml:trace contextRef="#ctx0" brushRef="#br0">8825 71046,'0'0,"8"22,-8-18,4 1,-4-1,0 0,4-4,-4 0,0 0,0-4,0-2,0-1,0 1,0-2,0 0,0 2,0 0,0 1,0 3,4 2,-4 0,4 0,0 5,-4 1,4 2,-4 0,4-4,0 4,0-4,0-2,0-2</inkml:trace>
  <inkml:trace contextRef="#ctx0" brushRef="#br0">8883 71066,'0'0,"8"-34,-6 31,0-1,0 4,0 0,0 6,2-5,0 5,4 2,-2 0,5 4,-1-3,2-1,2 0,-2-6</inkml:trace>
  <inkml:trace contextRef="#ctx0" brushRef="#br1">9869 70140,'42'-12,"19"-2,14-5,13 1,15 2,24 7,18 1,-28 4,-18 4</inkml:trace>
  <inkml:trace contextRef="#ctx0" brushRef="#br1">9841 70106,'0'0,"8"26,-16-20,-8 3,0 3,-3-2,3 0,0 1,8-3,2-4,6 0,0 0,8-4,6 0,4 0,3 0,3 0,0 0,4 4,-4 0,-7-4</inkml:trace>
  <inkml:trace contextRef="#ctx0" brushRef="#br1">11030 70099,'0'0,"21"31,-15-17,2-3,0 1,0-2,0-1,0-5,0 0,-2-4,-2 0,0-8,-4 1,2-1,-2 0,2-4,-2 1,0 3,0 6,0-4,4 10,0 0,2 4,4 3,0 1,5 8,3-1,-2 8,-2-5,-6 1,-2 1,-6-3,0-5,-6-2,4-5,-6-3,2-4,-2-2,2-10,4-3,-4-3,6-7,-2 5,2-1,0 3,0 6,6-2,-2 9,4-5,4 4,0 0,2 0,2 0,0 0,-3 0,-5 0</inkml:trace>
  <inkml:trace contextRef="#ctx0" brushRef="#br1">11301 70124,'0'0,"8"33,-4-25,4 6,-4-5,4 1</inkml:trace>
  <inkml:trace contextRef="#ctx0" brushRef="#br1">11430 70163,'0'0,"30"0,-24-4,-2-4,0 4,-2-3,-2-1,0 4,-2-2,-6 4,2-2,-2 4,0 0,0 0,2 0,0 6,2-4,4 4,-4 0,4-2,4 3,0 5,6-6,2 2,2 0,8-1,-6-1,0-6</inkml:trace>
  <inkml:trace contextRef="#ctx0" brushRef="#br1">11579 70056,'0'0,"24"41,-18-24,2-1,4 7,0-5,0 1</inkml:trace>
  <inkml:trace contextRef="#ctx0" brushRef="#br1">11744 70056,'0'0,"12"35,-6-22,-2 1,2 2,-2-1,5-5,-5 2,0-6,0-4,0 4,-4-6,4 0,-4-2,0-4,0 0,-4-2,2 0,-4 4,-2 2,-1-2,3 3,-2 1,0-2,0 2,2 0,0 0,0 3,4 3,0-2,0 4,2 0,0 0,4-1,2-1,2-4,0 4,4-6,-2 0,-4 0</inkml:trace>
  <inkml:trace contextRef="#ctx0" brushRef="#br1">12188 70071,'0'0,"-35"0,25 0,-2 4,4-2,0 2,0 0,8-2,-6 2,4-2,2 4,0-1,8-1,0 2,8 0,0 2,1 0,-5 1,0-1,-6 2,-2-2,0 0,-4-1,0-7,-6 6,0-4,4-2,-4 0,4 0,-4-4,2 0,0-3,2-1,2 4,0 2,0 0,4-2,2 0,6 2,4-2,0 0,2-3,4 1,-4-2,3-2,-9 2,-4-1,-2-1,-4 0,-2 2,0 2,0-1,0 1,0 4,0 0,-4-2,4 2,-4 2,4 0,-2 0,0 6,2-2,0 4,0 3,4-3,0 2,4 4,-4-1,4 1,4-4,-8 1,4-3,-4-2,0-4</inkml:trace>
  <inkml:trace contextRef="#ctx0" brushRef="#br1">12315 70120,'0'0,"34"-4,-18 4,6 0,-1 0,-5 0</inkml:trace>
  <inkml:trace contextRef="#ctx0" brushRef="#br1">12472 70145,'0'0,"6"8,-6-14,0 3,-2-5,2 0,-4 0,2 0,2 2,0 1,0 3,0 0,0 0,0 0,6 2,-4 0,6 0,-2 0,2 0,-2 2,2 2,-2-2,0 1,1 1,-3 0,2-2,0 2,0-2,0 0,0-2</inkml:trace>
  <inkml:trace contextRef="#ctx0" brushRef="#br1">12609 70114,'0'0,"-2"-6,-4 6,4 0,2 0,-6 0,4 4,-2-2,2 4,0-4,2 4,0-2,0 2,0 0,0-3,2 3,4 0,2-2,-4 2,6-4,-2 2,4 0,0-4,3 0,-1 0,-6 0</inkml:trace>
  <inkml:trace contextRef="#ctx0" brushRef="#br1">12742 70099,'0'0,"-34"-4,30 4,0 0,4 4,0-2,0-2,4 5,4-3,-2 6,-2-2,4 2,-4-2,2 3,-2-3,-4 2,6-4,-4 2,-2-4,4 2,-2-2,-2-4,0-2,0-4,0 4,0-2,0 0,2 4,4 1,-4-3,7 0,-3 0,4 2,2-4,0-2,2 4,-4-2,6 1,-8-1,0 2,-8 4,4-4,-4 4,-4 0,0 0,0 0,-4 0,0 0,4 0,-2 0,0 0,2 0,0 0,4 0,0 0,0 4,4-2,0 0,4 4,0-3,0 1,4 4,0 4,2-4,-3 1,-3 1,-2 2,-4-4,-2 0,0-5,-6 3,2-4,-2-2,0 0,3 0</inkml:trace>
  <inkml:trace contextRef="#ctx0" brushRef="#br1">13230 70122,'0'0,"-16"33,24-25,0 0,4 0,-2-4,0-2,3-2,-5 0,-2-6,-2-2,0 0,-4-2,0 2,-4-5,-4 5,0 4,-1-2,1 6,0 0,6 0,-2 0</inkml:trace>
  <inkml:trace contextRef="#ctx0" brushRef="#br1">13357 70132,'0'0,"-4"-41,0 25,4 2,0 5,-4 3,4 0,-4 4,12 2,-4 2,4 6,4 3,2 5,-3-4,-3 2</inkml:trace>
  <inkml:trace contextRef="#ctx0" brushRef="#br1">13307 70122,'0'0,"42"-8,-22 8,-4 0,3 4,3 0,-6 2,-2-2</inkml:trace>
  <inkml:trace contextRef="#ctx0" brushRef="#br1">11873 70513,'0'0,"8"31,0-21,-4 3,2-3,0 4,-3-4,1-4,-2-1,-2-5,0 4,2-4,-2-4,4-1,-4-5,0-2,0-4,0 3,0 3,0-4,0 5,0 1,0 6,0-2,2 4,-2 0,8 0,-2 6,2 3,2-1,-2 0,0 0,-2 0,2-2,-4-1,0-5,0 0,-4-3,4-5,-4 0,2-2,0 2,-2 1,4 1,-4 4,0 0,0 4,0 4,4-3,2 3,4 2,-1 0,5 2,-2 1,0-9</inkml:trace>
  <inkml:trace contextRef="#ctx0" brushRef="#br1">12160 70530,'0'0,"-29"-4,23 4,4 2,-2 2,2 2,2-4,0 6,2-2,6 0,-2-4,2 5,-2-7,3 0,-1 0,-4 0,2 0,0 0,-6-2,2-3,0 5,2 0,-4 0,2 0,0 0,2 5,2-3,2 4,2-4,6 6,-2-4,-2-2</inkml:trace>
  <inkml:trace contextRef="#ctx0" brushRef="#br1">12291 70452,'0'0,"26"39,-18-23,0-4,0 3,0 5,0-3,0-3</inkml:trace>
  <inkml:trace contextRef="#ctx0" brushRef="#br1">12305 70524,'0'0,"36"2,-22 0,0 0,6 0,-1 0,-7-2</inkml:trace>
  <inkml:trace contextRef="#ctx0" brushRef="#br1">12464 70540,'0'0,"36"6,-26-4,-2-2,0 2,1-2,-5 0,0-2,-2 0,-2-2,-2 0,-4-2,0 4,-5-2,3 2,-2 2,2 0,0 0,6 2,-4 2,4 0,2 4,0-2,8 4,0-4,2 1,2-1,3 0,3-4,-6-2,0 0</inkml:trace>
  <inkml:trace contextRef="#ctx0" brushRef="#br1">12625 70546,'0'0,"10"31,-8-25,-2-4,0-2,0 0,0-8,0 0,-2-1,2-3,-2 6,0-2,2 4,0 0,0 2,4 2,2 0,0 0,7 2,-3 2,0 0</inkml:trace>
  <inkml:trace contextRef="#ctx0" brushRef="#br1">12744 70538,'0'0,"10"35,-6-31,6 8,-1-8,1 4</inkml:trace>
  <inkml:trace contextRef="#ctx0" brushRef="#br1">12885 70571,'0'0,"-36"-13,28 13,2 0,0 0,4 0,0 4,2-2,0 3,0 1,0-4,8 4,0-4,0 4,-4-6,4 0,-2 0,0 0,-2 0,0 0,-2-4,0 2,2 2,-4-2,2 2,-2 0,4 0,-2 0,1 0,3 0,2 2,-2 4,6-4,0 4,-4-2,0-2,0 0,-4-2</inkml:trace>
  <inkml:trace contextRef="#ctx0" brushRef="#br1">13000 70462,'0'0,"14"41,-6-25,-3 3,7-1,-4 3,6 3,-4-3,2-5</inkml:trace>
  <inkml:trace contextRef="#ctx0" brushRef="#br1">13361 70183,'0'0</inkml:trace>
  <inkml:trace contextRef="#ctx0" brushRef="#br1">13369 70163,'0'0,"0"0,0-4,0 0,0 4,0-2,0 0,0-2,0 10,4-4,-4 6,0-4,0 4,0 0,2-1,0-3,-2 4,4 0,-4 0,6-4,-4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8D50-96EE-48BC-A599-875E9FF5301B}">
  <dimension ref="B4:E71"/>
  <sheetViews>
    <sheetView topLeftCell="A4" zoomScale="86" zoomScaleNormal="254" workbookViewId="0">
      <selection activeCell="B12" sqref="B12:D19"/>
    </sheetView>
  </sheetViews>
  <sheetFormatPr defaultRowHeight="14.4" x14ac:dyDescent="0.3"/>
  <cols>
    <col min="3" max="4" width="8.88671875" style="2"/>
  </cols>
  <sheetData>
    <row r="4" spans="2:5" x14ac:dyDescent="0.3">
      <c r="B4" s="4" t="s">
        <v>0</v>
      </c>
    </row>
    <row r="5" spans="2:5" x14ac:dyDescent="0.3">
      <c r="B5" s="1"/>
    </row>
    <row r="6" spans="2:5" x14ac:dyDescent="0.3">
      <c r="B6" s="1"/>
    </row>
    <row r="7" spans="2:5" x14ac:dyDescent="0.3">
      <c r="B7" s="1"/>
    </row>
    <row r="8" spans="2:5" x14ac:dyDescent="0.3">
      <c r="B8" s="1"/>
    </row>
    <row r="9" spans="2:5" x14ac:dyDescent="0.3">
      <c r="B9" s="1"/>
    </row>
    <row r="10" spans="2:5" x14ac:dyDescent="0.3">
      <c r="B10" s="1"/>
    </row>
    <row r="11" spans="2:5" x14ac:dyDescent="0.3">
      <c r="B11" s="1"/>
    </row>
    <row r="12" spans="2:5" x14ac:dyDescent="0.3">
      <c r="B12" s="3" t="s">
        <v>8</v>
      </c>
      <c r="C12" s="3" t="s">
        <v>55</v>
      </c>
      <c r="D12" s="3" t="s">
        <v>9</v>
      </c>
      <c r="E12" s="3" t="s">
        <v>25</v>
      </c>
    </row>
    <row r="13" spans="2:5" x14ac:dyDescent="0.3">
      <c r="B13" s="1" t="s">
        <v>1</v>
      </c>
      <c r="C13" s="2">
        <v>3.2000000000000001E-2</v>
      </c>
      <c r="D13" s="2" t="s">
        <v>7</v>
      </c>
    </row>
    <row r="14" spans="2:5" x14ac:dyDescent="0.3">
      <c r="B14" s="1" t="s">
        <v>2</v>
      </c>
      <c r="C14" s="2">
        <v>10.314</v>
      </c>
      <c r="D14" s="2" t="s">
        <v>7</v>
      </c>
    </row>
    <row r="15" spans="2:5" x14ac:dyDescent="0.3">
      <c r="B15" s="1" t="s">
        <v>3</v>
      </c>
      <c r="C15" s="2">
        <v>4.3239999999999998</v>
      </c>
      <c r="D15" s="2" t="s">
        <v>7</v>
      </c>
    </row>
    <row r="16" spans="2:5" x14ac:dyDescent="0.3">
      <c r="B16" s="1" t="s">
        <v>4</v>
      </c>
      <c r="C16" s="2">
        <f>429.6*2</f>
        <v>859.2</v>
      </c>
      <c r="D16" s="2" t="s">
        <v>18</v>
      </c>
      <c r="E16" t="s">
        <v>49</v>
      </c>
    </row>
    <row r="17" spans="2:5" x14ac:dyDescent="0.3">
      <c r="B17" s="1"/>
      <c r="E17" s="2">
        <f>660 + 45*3</f>
        <v>795</v>
      </c>
    </row>
    <row r="18" spans="2:5" x14ac:dyDescent="0.3">
      <c r="B18" s="1" t="s">
        <v>5</v>
      </c>
      <c r="C18" s="2">
        <f>(C14*C15)-((C14-2*C13)*(C15-2*C13))</f>
        <v>0.93273599999999846</v>
      </c>
      <c r="D18" s="2" t="s">
        <v>11</v>
      </c>
    </row>
    <row r="19" spans="2:5" x14ac:dyDescent="0.3">
      <c r="B19" s="1" t="s">
        <v>6</v>
      </c>
      <c r="C19" s="2">
        <f>C16/(2*C13*C18)</f>
        <v>14393.140181144528</v>
      </c>
      <c r="D19" s="2" t="s">
        <v>21</v>
      </c>
    </row>
    <row r="20" spans="2:5" x14ac:dyDescent="0.3">
      <c r="B20" s="1"/>
    </row>
    <row r="21" spans="2:5" x14ac:dyDescent="0.3">
      <c r="B21" s="1"/>
    </row>
    <row r="22" spans="2:5" x14ac:dyDescent="0.3">
      <c r="B22" s="1"/>
    </row>
    <row r="23" spans="2:5" x14ac:dyDescent="0.3">
      <c r="B23" s="1"/>
    </row>
    <row r="24" spans="2:5" x14ac:dyDescent="0.3">
      <c r="B24" s="1"/>
    </row>
    <row r="25" spans="2:5" x14ac:dyDescent="0.3">
      <c r="B25" s="1"/>
    </row>
    <row r="26" spans="2:5" x14ac:dyDescent="0.3">
      <c r="B26" s="1"/>
    </row>
    <row r="27" spans="2:5" x14ac:dyDescent="0.3">
      <c r="B27" s="1"/>
    </row>
    <row r="28" spans="2:5" x14ac:dyDescent="0.3">
      <c r="B28" s="1"/>
    </row>
    <row r="29" spans="2:5" x14ac:dyDescent="0.3">
      <c r="B29" s="1"/>
    </row>
    <row r="30" spans="2:5" x14ac:dyDescent="0.3">
      <c r="B30" s="1"/>
    </row>
    <row r="31" spans="2:5" x14ac:dyDescent="0.3">
      <c r="B31" s="1"/>
    </row>
    <row r="32" spans="2:5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6D2D-AB64-4CB7-950D-CBC4190FB579}">
  <dimension ref="B4:AG36"/>
  <sheetViews>
    <sheetView topLeftCell="S1" zoomScale="87" zoomScaleNormal="85" workbookViewId="0">
      <selection activeCell="AC28" sqref="AC28"/>
    </sheetView>
  </sheetViews>
  <sheetFormatPr defaultRowHeight="14.4" x14ac:dyDescent="0.3"/>
  <cols>
    <col min="4" max="5" width="8.88671875" style="2"/>
  </cols>
  <sheetData>
    <row r="4" spans="2:33" x14ac:dyDescent="0.3">
      <c r="B4" s="9" t="s">
        <v>33</v>
      </c>
    </row>
    <row r="5" spans="2:33" x14ac:dyDescent="0.3">
      <c r="B5" t="s">
        <v>12</v>
      </c>
      <c r="P5" t="s">
        <v>35</v>
      </c>
      <c r="AE5" t="s">
        <v>38</v>
      </c>
    </row>
    <row r="6" spans="2:33" x14ac:dyDescent="0.3">
      <c r="B6" s="1"/>
    </row>
    <row r="7" spans="2:33" x14ac:dyDescent="0.3">
      <c r="B7" s="1"/>
      <c r="C7" s="3" t="s">
        <v>8</v>
      </c>
      <c r="D7" s="3"/>
      <c r="E7" s="3" t="s">
        <v>9</v>
      </c>
      <c r="F7" s="3" t="s">
        <v>25</v>
      </c>
      <c r="O7" s="3" t="s">
        <v>8</v>
      </c>
      <c r="P7" s="3"/>
      <c r="Q7" s="3" t="s">
        <v>9</v>
      </c>
      <c r="R7" s="3" t="s">
        <v>25</v>
      </c>
      <c r="AD7" s="3" t="s">
        <v>8</v>
      </c>
      <c r="AE7" s="3" t="s">
        <v>55</v>
      </c>
      <c r="AF7" s="3" t="s">
        <v>9</v>
      </c>
      <c r="AG7" s="3" t="s">
        <v>25</v>
      </c>
    </row>
    <row r="8" spans="2:33" x14ac:dyDescent="0.3">
      <c r="C8" s="1" t="s">
        <v>13</v>
      </c>
      <c r="D8" s="2">
        <v>26</v>
      </c>
      <c r="E8" s="2" t="s">
        <v>26</v>
      </c>
      <c r="F8" t="s">
        <v>27</v>
      </c>
      <c r="O8" s="1" t="s">
        <v>36</v>
      </c>
      <c r="P8" s="2">
        <f>26/14</f>
        <v>1.8571428571428572</v>
      </c>
      <c r="Q8" s="2" t="s">
        <v>37</v>
      </c>
      <c r="R8" t="s">
        <v>48</v>
      </c>
      <c r="AD8" s="1" t="s">
        <v>39</v>
      </c>
      <c r="AE8" s="2">
        <f>60</f>
        <v>60</v>
      </c>
      <c r="AF8" s="2" t="s">
        <v>26</v>
      </c>
      <c r="AG8" t="s">
        <v>54</v>
      </c>
    </row>
    <row r="9" spans="2:33" x14ac:dyDescent="0.3">
      <c r="C9" s="1" t="s">
        <v>14</v>
      </c>
      <c r="D9" s="2">
        <v>14</v>
      </c>
      <c r="E9" s="2" t="s">
        <v>7</v>
      </c>
      <c r="O9" s="1" t="s">
        <v>14</v>
      </c>
      <c r="P9" s="2">
        <v>14</v>
      </c>
      <c r="Q9" s="2" t="s">
        <v>7</v>
      </c>
      <c r="AD9" s="1" t="s">
        <v>14</v>
      </c>
      <c r="AE9" s="2">
        <v>14</v>
      </c>
      <c r="AF9" s="2" t="s">
        <v>7</v>
      </c>
    </row>
    <row r="10" spans="2:33" x14ac:dyDescent="0.3">
      <c r="C10" s="1" t="s">
        <v>15</v>
      </c>
      <c r="D10" s="2">
        <f>0.5*Torsion!C13*Torsion!C14*Torsion!C15^2+0.5*Torsion!C13*Torsion!C15*Torsion!C14^2</f>
        <v>10.445146553088</v>
      </c>
      <c r="E10" s="2" t="s">
        <v>19</v>
      </c>
      <c r="F10" t="s">
        <v>32</v>
      </c>
      <c r="O10" s="1" t="s">
        <v>15</v>
      </c>
      <c r="P10" s="2">
        <f>D10</f>
        <v>10.445146553088</v>
      </c>
      <c r="Q10" s="2" t="s">
        <v>19</v>
      </c>
      <c r="AD10" s="1" t="s">
        <v>15</v>
      </c>
      <c r="AE10" s="2">
        <f>D10</f>
        <v>10.445146553088</v>
      </c>
      <c r="AF10" s="2" t="s">
        <v>19</v>
      </c>
    </row>
    <row r="11" spans="2:33" x14ac:dyDescent="0.3">
      <c r="C11" s="1" t="s">
        <v>16</v>
      </c>
      <c r="D11" s="2">
        <f>(1/4)*D8*D9</f>
        <v>91</v>
      </c>
      <c r="E11" s="2" t="s">
        <v>18</v>
      </c>
      <c r="O11" s="1" t="s">
        <v>16</v>
      </c>
      <c r="P11" s="2">
        <f>(1/8)*P8*P9^2</f>
        <v>45.5</v>
      </c>
      <c r="Q11" s="2" t="s">
        <v>18</v>
      </c>
      <c r="R11" t="s">
        <v>32</v>
      </c>
      <c r="AD11" s="1" t="s">
        <v>16</v>
      </c>
      <c r="AE11" s="2">
        <f>AE8*AE9</f>
        <v>840</v>
      </c>
      <c r="AF11" s="2" t="s">
        <v>18</v>
      </c>
      <c r="AG11" t="s">
        <v>32</v>
      </c>
    </row>
    <row r="12" spans="2:33" x14ac:dyDescent="0.3">
      <c r="C12" s="1" t="s">
        <v>31</v>
      </c>
      <c r="D12" s="2">
        <f>Torsion!C15/2</f>
        <v>2.1619999999999999</v>
      </c>
      <c r="E12" s="2" t="s">
        <v>7</v>
      </c>
      <c r="F12" t="s">
        <v>32</v>
      </c>
      <c r="O12" s="1" t="s">
        <v>31</v>
      </c>
      <c r="P12" s="2">
        <f>D12</f>
        <v>2.1619999999999999</v>
      </c>
      <c r="Q12" s="2" t="s">
        <v>7</v>
      </c>
      <c r="AD12" s="1" t="s">
        <v>31</v>
      </c>
      <c r="AE12" s="2">
        <f>D12</f>
        <v>2.1619999999999999</v>
      </c>
      <c r="AF12" s="2" t="s">
        <v>7</v>
      </c>
    </row>
    <row r="13" spans="2:33" x14ac:dyDescent="0.3">
      <c r="C13" s="1" t="s">
        <v>17</v>
      </c>
      <c r="D13" s="2">
        <f>D10/D12</f>
        <v>4.8312426239999997</v>
      </c>
      <c r="E13" s="2" t="s">
        <v>10</v>
      </c>
      <c r="O13" s="1" t="s">
        <v>17</v>
      </c>
      <c r="P13" s="2">
        <f>P10/P12</f>
        <v>4.8312426239999997</v>
      </c>
      <c r="Q13" s="2" t="s">
        <v>10</v>
      </c>
      <c r="R13" t="s">
        <v>32</v>
      </c>
      <c r="AD13" s="1" t="s">
        <v>17</v>
      </c>
      <c r="AE13" s="2">
        <f>AE10/AE12</f>
        <v>4.8312426239999997</v>
      </c>
      <c r="AF13" s="2" t="s">
        <v>10</v>
      </c>
      <c r="AG13" t="s">
        <v>32</v>
      </c>
    </row>
    <row r="14" spans="2:33" x14ac:dyDescent="0.3">
      <c r="B14" s="1"/>
      <c r="C14" s="1" t="s">
        <v>20</v>
      </c>
      <c r="D14" s="2">
        <f>ABS(D11)/D13</f>
        <v>18.835733802302205</v>
      </c>
      <c r="E14" s="2" t="s">
        <v>21</v>
      </c>
      <c r="O14" s="1" t="s">
        <v>20</v>
      </c>
      <c r="P14" s="2">
        <f>ABS(P11)/P13</f>
        <v>9.4178669011511023</v>
      </c>
      <c r="Q14" s="2" t="s">
        <v>21</v>
      </c>
      <c r="AD14" s="1" t="s">
        <v>20</v>
      </c>
      <c r="AE14" s="2">
        <f>ABS(AE11)/AE13</f>
        <v>173.86831202125114</v>
      </c>
      <c r="AF14" s="2" t="s">
        <v>21</v>
      </c>
    </row>
    <row r="15" spans="2:33" x14ac:dyDescent="0.3">
      <c r="B15" s="1"/>
    </row>
    <row r="16" spans="2:33" x14ac:dyDescent="0.3">
      <c r="B16" s="1"/>
    </row>
    <row r="17" spans="2:30" x14ac:dyDescent="0.3">
      <c r="B17" s="1"/>
    </row>
    <row r="18" spans="2:30" x14ac:dyDescent="0.3">
      <c r="B18" s="1"/>
      <c r="X18" s="10"/>
    </row>
    <row r="19" spans="2:30" x14ac:dyDescent="0.3">
      <c r="B19" s="1"/>
      <c r="X19" s="11"/>
    </row>
    <row r="20" spans="2:30" x14ac:dyDescent="0.3">
      <c r="B20" s="1"/>
      <c r="X20" s="11"/>
    </row>
    <row r="21" spans="2:30" x14ac:dyDescent="0.3">
      <c r="B21" s="1"/>
      <c r="X21" s="11"/>
    </row>
    <row r="22" spans="2:30" x14ac:dyDescent="0.3">
      <c r="B22" s="1"/>
      <c r="X22" s="11"/>
    </row>
    <row r="23" spans="2:30" x14ac:dyDescent="0.3">
      <c r="B23" s="1"/>
      <c r="X23" s="11"/>
    </row>
    <row r="24" spans="2:30" x14ac:dyDescent="0.3">
      <c r="B24" s="1"/>
      <c r="X24" s="11"/>
    </row>
    <row r="25" spans="2:30" x14ac:dyDescent="0.3">
      <c r="B25" s="1"/>
      <c r="X25" s="11"/>
    </row>
    <row r="26" spans="2:30" x14ac:dyDescent="0.3">
      <c r="B26" s="1"/>
      <c r="X26" s="11"/>
      <c r="AD26" t="s">
        <v>40</v>
      </c>
    </row>
    <row r="27" spans="2:30" x14ac:dyDescent="0.3">
      <c r="B27" s="1"/>
      <c r="X27" s="11"/>
    </row>
    <row r="28" spans="2:30" x14ac:dyDescent="0.3">
      <c r="B28" s="1"/>
      <c r="X28" s="11"/>
    </row>
    <row r="29" spans="2:30" x14ac:dyDescent="0.3">
      <c r="B29" s="1"/>
      <c r="X29" s="11"/>
    </row>
    <row r="30" spans="2:30" x14ac:dyDescent="0.3">
      <c r="B30" s="1"/>
      <c r="X30" s="11"/>
    </row>
    <row r="31" spans="2:30" x14ac:dyDescent="0.3">
      <c r="X31" s="11"/>
    </row>
    <row r="32" spans="2:30" x14ac:dyDescent="0.3">
      <c r="X32" s="11"/>
    </row>
    <row r="33" spans="24:24" x14ac:dyDescent="0.3">
      <c r="X33" s="11"/>
    </row>
    <row r="34" spans="24:24" x14ac:dyDescent="0.3">
      <c r="X34" s="11"/>
    </row>
    <row r="35" spans="24:24" x14ac:dyDescent="0.3">
      <c r="X35" s="11"/>
    </row>
    <row r="36" spans="24:24" x14ac:dyDescent="0.3">
      <c r="X36" s="11"/>
    </row>
  </sheetData>
  <pageMargins left="0.7" right="0.7" top="0.75" bottom="0.75" header="0.3" footer="0.3"/>
  <ignoredErrors>
    <ignoredError sqref="P11 AE11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63C3-7309-480C-8450-91D7F4817F10}">
  <dimension ref="B4:R24"/>
  <sheetViews>
    <sheetView tabSelected="1" zoomScale="92" workbookViewId="0">
      <selection activeCell="O22" sqref="O22:P23"/>
    </sheetView>
  </sheetViews>
  <sheetFormatPr defaultRowHeight="14.4" x14ac:dyDescent="0.3"/>
  <sheetData>
    <row r="4" spans="2:18" x14ac:dyDescent="0.3">
      <c r="B4" s="5" t="s">
        <v>22</v>
      </c>
      <c r="O4" s="20" t="s">
        <v>42</v>
      </c>
      <c r="P4" s="20"/>
      <c r="Q4" s="20"/>
      <c r="R4" s="20"/>
    </row>
    <row r="5" spans="2:18" x14ac:dyDescent="0.3">
      <c r="B5" s="8" t="s">
        <v>12</v>
      </c>
      <c r="O5" s="12"/>
      <c r="P5" s="13" t="s">
        <v>43</v>
      </c>
      <c r="Q5" s="14">
        <v>63606.25</v>
      </c>
      <c r="R5" s="15" t="s">
        <v>44</v>
      </c>
    </row>
    <row r="6" spans="2:18" x14ac:dyDescent="0.3">
      <c r="B6" s="1"/>
      <c r="C6" s="3" t="s">
        <v>8</v>
      </c>
      <c r="D6" s="3" t="s">
        <v>55</v>
      </c>
      <c r="E6" s="3" t="s">
        <v>9</v>
      </c>
      <c r="F6" s="3" t="s">
        <v>25</v>
      </c>
      <c r="O6" s="16"/>
      <c r="P6" s="17" t="s">
        <v>45</v>
      </c>
      <c r="Q6" s="18">
        <v>31336.97</v>
      </c>
      <c r="R6" s="19" t="s">
        <v>44</v>
      </c>
    </row>
    <row r="7" spans="2:18" x14ac:dyDescent="0.3">
      <c r="C7" s="1" t="s">
        <v>23</v>
      </c>
      <c r="D7">
        <f>SQRT((Bending!D14)^2+3*(Torsion!C19)^2)</f>
        <v>24929.657189923397</v>
      </c>
      <c r="E7" s="2" t="s">
        <v>21</v>
      </c>
      <c r="F7" s="2"/>
    </row>
    <row r="8" spans="2:18" x14ac:dyDescent="0.3">
      <c r="C8" s="1" t="s">
        <v>24</v>
      </c>
      <c r="D8" s="6">
        <f>38*10^3</f>
        <v>38000</v>
      </c>
      <c r="E8" s="2" t="s">
        <v>21</v>
      </c>
      <c r="F8" s="8" t="s">
        <v>30</v>
      </c>
      <c r="O8" s="1" t="s">
        <v>46</v>
      </c>
      <c r="P8" s="7">
        <f>Q6/D7</f>
        <v>1.2570156806113824</v>
      </c>
      <c r="Q8" s="2" t="s">
        <v>29</v>
      </c>
    </row>
    <row r="9" spans="2:18" x14ac:dyDescent="0.3">
      <c r="B9" s="1"/>
      <c r="C9" s="1" t="s">
        <v>28</v>
      </c>
      <c r="D9" s="7">
        <f>D8/D7</f>
        <v>1.5242889106136468</v>
      </c>
      <c r="E9" s="2" t="s">
        <v>29</v>
      </c>
      <c r="F9" s="8" t="s">
        <v>34</v>
      </c>
      <c r="O9" s="1" t="s">
        <v>47</v>
      </c>
      <c r="P9" s="7">
        <f>Q5/D7</f>
        <v>2.5514289873873492</v>
      </c>
      <c r="Q9" s="2" t="s">
        <v>29</v>
      </c>
    </row>
    <row r="10" spans="2:18" x14ac:dyDescent="0.3">
      <c r="B10" s="1"/>
      <c r="E10" s="2"/>
      <c r="F10" s="2"/>
      <c r="P10" s="7"/>
    </row>
    <row r="11" spans="2:18" x14ac:dyDescent="0.3">
      <c r="B11" s="1"/>
      <c r="E11" s="2"/>
      <c r="F11" s="2"/>
      <c r="P11" s="7"/>
    </row>
    <row r="12" spans="2:18" x14ac:dyDescent="0.3">
      <c r="B12" s="8" t="s">
        <v>41</v>
      </c>
      <c r="P12" s="7"/>
    </row>
    <row r="13" spans="2:18" x14ac:dyDescent="0.3">
      <c r="B13" s="1"/>
      <c r="C13" s="3" t="s">
        <v>8</v>
      </c>
      <c r="D13" s="3" t="s">
        <v>55</v>
      </c>
      <c r="E13" s="3" t="s">
        <v>9</v>
      </c>
      <c r="F13" s="3" t="s">
        <v>25</v>
      </c>
      <c r="P13" s="7"/>
    </row>
    <row r="14" spans="2:18" x14ac:dyDescent="0.3">
      <c r="C14" s="1" t="s">
        <v>23</v>
      </c>
      <c r="D14">
        <f>SQRT((Bending!P14)^2+3*(Torsion!C19)^2)</f>
        <v>24929.651853133615</v>
      </c>
      <c r="E14" s="2" t="s">
        <v>21</v>
      </c>
      <c r="F14" s="2"/>
      <c r="P14" s="7"/>
    </row>
    <row r="15" spans="2:18" x14ac:dyDescent="0.3">
      <c r="C15" s="1" t="s">
        <v>24</v>
      </c>
      <c r="D15" s="6">
        <f>38*10^3</f>
        <v>38000</v>
      </c>
      <c r="E15" s="2" t="s">
        <v>21</v>
      </c>
      <c r="F15" s="8" t="s">
        <v>30</v>
      </c>
      <c r="O15" s="1" t="s">
        <v>46</v>
      </c>
      <c r="P15" s="7">
        <f>Q6/D14</f>
        <v>1.2570159497057316</v>
      </c>
      <c r="Q15" s="2" t="s">
        <v>29</v>
      </c>
    </row>
    <row r="16" spans="2:18" x14ac:dyDescent="0.3">
      <c r="B16" s="1"/>
      <c r="C16" s="1" t="s">
        <v>28</v>
      </c>
      <c r="D16" s="7">
        <f>D15/D14</f>
        <v>1.5242892369242398</v>
      </c>
      <c r="E16" s="2" t="s">
        <v>29</v>
      </c>
      <c r="F16" s="8" t="s">
        <v>34</v>
      </c>
      <c r="O16" s="1" t="s">
        <v>47</v>
      </c>
      <c r="P16" s="7">
        <f>Q5/D14</f>
        <v>2.5514295335819059</v>
      </c>
      <c r="Q16" s="2" t="s">
        <v>29</v>
      </c>
    </row>
    <row r="17" spans="2:17" x14ac:dyDescent="0.3">
      <c r="B17" s="1"/>
      <c r="P17" s="7"/>
    </row>
    <row r="18" spans="2:17" x14ac:dyDescent="0.3">
      <c r="B18" s="1"/>
      <c r="P18" s="7"/>
    </row>
    <row r="19" spans="2:17" x14ac:dyDescent="0.3">
      <c r="B19" s="8" t="s">
        <v>38</v>
      </c>
      <c r="P19" s="7"/>
    </row>
    <row r="20" spans="2:17" x14ac:dyDescent="0.3">
      <c r="B20" s="1"/>
      <c r="C20" s="3" t="s">
        <v>8</v>
      </c>
      <c r="D20" s="3" t="s">
        <v>55</v>
      </c>
      <c r="E20" s="3" t="s">
        <v>9</v>
      </c>
      <c r="F20" s="3" t="s">
        <v>25</v>
      </c>
      <c r="P20" s="7"/>
    </row>
    <row r="21" spans="2:17" x14ac:dyDescent="0.3">
      <c r="C21" s="1" t="s">
        <v>23</v>
      </c>
      <c r="D21">
        <f>SQRT((Bending!AE14)^2+3*(Torsion!C19)^2)</f>
        <v>24930.256376783542</v>
      </c>
      <c r="E21" s="2" t="s">
        <v>21</v>
      </c>
      <c r="F21" s="2"/>
      <c r="P21" s="7"/>
    </row>
    <row r="22" spans="2:17" x14ac:dyDescent="0.3">
      <c r="C22" s="1" t="s">
        <v>24</v>
      </c>
      <c r="D22" s="6">
        <f>38*10^3</f>
        <v>38000</v>
      </c>
      <c r="E22" s="2" t="s">
        <v>21</v>
      </c>
      <c r="F22" s="8" t="s">
        <v>30</v>
      </c>
      <c r="O22" s="1" t="s">
        <v>46</v>
      </c>
      <c r="P22" s="7">
        <f>Q6/D21</f>
        <v>1.2569854688370856</v>
      </c>
      <c r="Q22" s="2" t="s">
        <v>29</v>
      </c>
    </row>
    <row r="23" spans="2:17" x14ac:dyDescent="0.3">
      <c r="B23" s="1"/>
      <c r="C23" s="1" t="s">
        <v>28</v>
      </c>
      <c r="D23" s="7">
        <f>D22/D21</f>
        <v>1.5242522750543288</v>
      </c>
      <c r="E23" s="2" t="s">
        <v>29</v>
      </c>
      <c r="F23" s="8" t="s">
        <v>34</v>
      </c>
      <c r="O23" s="1" t="s">
        <v>47</v>
      </c>
      <c r="P23" s="7">
        <f>Q5/D21</f>
        <v>2.5513676650045896</v>
      </c>
      <c r="Q23" s="2" t="s">
        <v>29</v>
      </c>
    </row>
    <row r="24" spans="2:17" x14ac:dyDescent="0.3">
      <c r="Q24" s="2"/>
    </row>
  </sheetData>
  <mergeCells count="1">
    <mergeCell ref="O4:R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7417-BAE0-400F-A31C-04E7965B4AB7}">
  <dimension ref="B3:D12"/>
  <sheetViews>
    <sheetView workbookViewId="0">
      <selection activeCell="L20" sqref="L20"/>
    </sheetView>
  </sheetViews>
  <sheetFormatPr defaultRowHeight="14.4" x14ac:dyDescent="0.3"/>
  <cols>
    <col min="2" max="2" width="8.88671875" style="2"/>
    <col min="3" max="3" width="11.77734375" style="2" bestFit="1" customWidth="1"/>
    <col min="4" max="4" width="8.88671875" style="2"/>
  </cols>
  <sheetData>
    <row r="3" spans="2:4" x14ac:dyDescent="0.3">
      <c r="B3" s="2" t="s">
        <v>53</v>
      </c>
      <c r="C3" s="2" t="s">
        <v>50</v>
      </c>
      <c r="D3" s="2" t="s">
        <v>52</v>
      </c>
    </row>
    <row r="4" spans="2:4" x14ac:dyDescent="0.3">
      <c r="B4" s="2">
        <v>4722</v>
      </c>
      <c r="C4" s="2">
        <f>B4*0.0022</f>
        <v>10.388400000000001</v>
      </c>
      <c r="D4" s="2" t="s">
        <v>51</v>
      </c>
    </row>
    <row r="5" spans="2:4" x14ac:dyDescent="0.3">
      <c r="B5" s="2">
        <f>B4+4831</f>
        <v>9553</v>
      </c>
      <c r="C5" s="2">
        <f t="shared" ref="C5:C12" si="0">B5*0.0022</f>
        <v>21.0166</v>
      </c>
      <c r="D5" s="2" t="s">
        <v>51</v>
      </c>
    </row>
    <row r="6" spans="2:4" x14ac:dyDescent="0.3">
      <c r="B6" s="2">
        <f>B5+4786</f>
        <v>14339</v>
      </c>
      <c r="C6" s="2">
        <f t="shared" si="0"/>
        <v>31.545800000000003</v>
      </c>
      <c r="D6" s="2" t="s">
        <v>51</v>
      </c>
    </row>
    <row r="7" spans="2:4" x14ac:dyDescent="0.3">
      <c r="B7" s="2">
        <f>B6+4599</f>
        <v>18938</v>
      </c>
      <c r="C7" s="2">
        <f t="shared" si="0"/>
        <v>41.663600000000002</v>
      </c>
      <c r="D7" s="2" t="s">
        <v>51</v>
      </c>
    </row>
    <row r="8" spans="2:4" x14ac:dyDescent="0.3">
      <c r="B8" s="2">
        <f>B7+4755</f>
        <v>23693</v>
      </c>
      <c r="C8" s="2">
        <f t="shared" si="0"/>
        <v>52.124600000000001</v>
      </c>
      <c r="D8" s="2" t="s">
        <v>51</v>
      </c>
    </row>
    <row r="9" spans="2:4" x14ac:dyDescent="0.3">
      <c r="C9" s="2">
        <f t="shared" si="0"/>
        <v>0</v>
      </c>
    </row>
    <row r="10" spans="2:4" x14ac:dyDescent="0.3">
      <c r="C10" s="2">
        <f t="shared" si="0"/>
        <v>0</v>
      </c>
    </row>
    <row r="11" spans="2:4" x14ac:dyDescent="0.3">
      <c r="C11" s="2">
        <f t="shared" si="0"/>
        <v>0</v>
      </c>
    </row>
    <row r="12" spans="2:4" x14ac:dyDescent="0.3">
      <c r="C12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Torsion</vt:lpstr>
      <vt:lpstr>Bending</vt:lpstr>
      <vt:lpstr>Combined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Alexander De La Cruz</dc:creator>
  <cp:lastModifiedBy>Kai Alexander De La Cruz</cp:lastModifiedBy>
  <dcterms:created xsi:type="dcterms:W3CDTF">2025-07-27T20:21:29Z</dcterms:created>
  <dcterms:modified xsi:type="dcterms:W3CDTF">2026-02-10T19:05:57Z</dcterms:modified>
</cp:coreProperties>
</file>